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otes\2026\March\NIC\"/>
    </mc:Choice>
  </mc:AlternateContent>
  <xr:revisionPtr revIDLastSave="0" documentId="13_ncr:1_{4398F247-50D2-4BE8-85DF-E74E15660AF2}" xr6:coauthVersionLast="47" xr6:coauthVersionMax="47" xr10:uidLastSave="{00000000-0000-0000-0000-000000000000}"/>
  <bookViews>
    <workbookView xWindow="-110" yWindow="-110" windowWidth="19420" windowHeight="11500" activeTab="2" xr2:uid="{FEA27088-D0D0-47A6-B269-A6AE23E53A3C}"/>
  </bookViews>
  <sheets>
    <sheet name="Quote" sheetId="1" r:id="rId1"/>
    <sheet name="NIC QN-3400021283028.1" sheetId="8" r:id="rId2"/>
    <sheet name="Sheet1" sheetId="9" r:id="rId3"/>
  </sheets>
  <externalReferences>
    <externalReference r:id="rId4"/>
    <externalReference r:id="rId5"/>
    <externalReference r:id="rId6"/>
    <externalReference r:id="rId7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>'[3]Sheet1 (2)'!GoAssetChart</definedName>
    <definedName name="GoBack">'[3]Sheet1 (2)'!GoBack</definedName>
    <definedName name="GoBalanceSheet">'[3]Sheet1 (2)'!GoBalanceSheet</definedName>
    <definedName name="GoCashFlow">'[3]Sheet1 (2)'!GoCashFlow</definedName>
    <definedName name="GoData">'[3]Sheet1 (2)'!GoData</definedName>
    <definedName name="GoIncomeChart">'[3]Sheet1 (2)'!GoIncomeChart</definedName>
    <definedName name="Hiperdist_Alliances_SA" localSheetId="0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0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0">INDIRECT(#REF!)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>'[3]Sheet1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0">Quote!$C$1:$I$29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19" i="1"/>
  <c r="I17" i="1"/>
  <c r="H17" i="1"/>
  <c r="P17" i="1"/>
  <c r="P19" i="1" s="1"/>
  <c r="P20" i="1" s="1"/>
  <c r="I20" i="1"/>
  <c r="P21" i="1" l="1"/>
  <c r="Q19" i="1"/>
  <c r="L20" i="1" s="1"/>
  <c r="M20" i="1" s="1"/>
</calcChain>
</file>

<file path=xl/sharedStrings.xml><?xml version="1.0" encoding="utf-8"?>
<sst xmlns="http://schemas.openxmlformats.org/spreadsheetml/2006/main" count="47" uniqueCount="39">
  <si>
    <t>Dolphin Professional Services Limited,</t>
  </si>
  <si>
    <t>Gate No.5, Mango Street,</t>
  </si>
  <si>
    <t>Near Makumbusho Bus Terminal,</t>
  </si>
  <si>
    <t>P.O. Box 31422,</t>
  </si>
  <si>
    <t>Dar-Es-Salaam, Tanzania.</t>
  </si>
  <si>
    <t>Telephone: +255 763 527 670</t>
  </si>
  <si>
    <t xml:space="preserve">Email: sales@dolphin.co.tz </t>
  </si>
  <si>
    <t xml:space="preserve"> Website : www.dolphin.co.tz</t>
  </si>
  <si>
    <t>TIN : 139-505-301</t>
  </si>
  <si>
    <t>PROFORMA INVOICE</t>
  </si>
  <si>
    <t>VAT: 40-036725-X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</si>
  <si>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</si>
  <si>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</si>
  <si>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</si>
  <si>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</si>
  <si>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</si>
  <si>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</si>
  <si>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</si>
  <si>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</si>
  <si>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</si>
  <si>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</si>
  <si>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</si>
  <si>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</si>
  <si>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</si>
  <si>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VAT(18%)</t>
  </si>
  <si>
    <t>GP</t>
  </si>
  <si>
    <t>Vat(18%)</t>
  </si>
  <si>
    <t>TOTAL</t>
  </si>
  <si>
    <t>Total</t>
  </si>
  <si>
    <t>PAYMENT TERMS : 100% Upfront</t>
  </si>
  <si>
    <t>LPO Required for Order Confirmation</t>
  </si>
  <si>
    <t>Sales Department</t>
  </si>
  <si>
    <t>Dolphin Professional Services Limited</t>
  </si>
  <si>
    <t>QUOTE VALIDITY : 15 Days</t>
  </si>
  <si>
    <t>Dell Pro Max 16 Premium (MA16250) XCTO Base [210-BRXX]</t>
  </si>
  <si>
    <t>DELIVERY TIMEFRAME: 4-6 Weeks</t>
  </si>
  <si>
    <t>Company: NBC</t>
  </si>
  <si>
    <t>Ref: DPSL/NBC/2026/05/12</t>
  </si>
  <si>
    <r>
      <t>Date: 12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May 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</si>
</sst>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name val="Times New Roman"/>
      <family val="1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34"/>
        <bgColor indexed="1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 applyNumberFormat="0" applyFill="0" applyBorder="0" applyAlignment="0" applyProtection="0"/>
    <xf numFmtId="0" fontId="37" fillId="9" borderId="18" applyNumberFormat="0" applyProtection="0">
      <alignment vertical="top" wrapText="1"/>
    </xf>
    <xf numFmtId="9" fontId="38" fillId="0" borderId="0" applyFont="0" applyFill="0" applyBorder="0" applyAlignment="0" applyProtection="0"/>
  </cellStyleXfs>
  <cellXfs count="131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4" fillId="0" borderId="0" xfId="4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64" fontId="22" fillId="7" borderId="9" xfId="3" applyNumberFormat="1" applyFont="1" applyFill="1" applyBorder="1" applyAlignment="1">
      <alignment horizontal="center" vertical="center" wrapText="1"/>
    </xf>
    <xf numFmtId="167" fontId="22" fillId="7" borderId="9" xfId="3" applyNumberFormat="1" applyFont="1" applyFill="1" applyBorder="1" applyAlignment="1">
      <alignment horizontal="center" vertical="center" wrapText="1"/>
    </xf>
    <xf numFmtId="1" fontId="23" fillId="0" borderId="9" xfId="2" applyNumberFormat="1" applyFont="1" applyBorder="1" applyAlignment="1">
      <alignment horizontal="center" vertical="center" wrapText="1"/>
    </xf>
    <xf numFmtId="164" fontId="24" fillId="0" borderId="9" xfId="1" applyFont="1" applyBorder="1" applyAlignment="1">
      <alignment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4" fontId="26" fillId="0" borderId="9" xfId="1" applyFont="1" applyFill="1" applyBorder="1"/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</cellXfs>
  <cellStyles count="13"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Hyperlink 4" xfId="10" xr:uid="{C336BFED-5D33-49E1-8A2B-D4B6414E2A12}"/>
    <cellStyle name="Normal" xfId="0" builtinId="0"/>
    <cellStyle name="Normal 2" xfId="9" xr:uid="{22CDF82C-ADCB-4E46-AA80-3D3484BFE0AB}"/>
    <cellStyle name="Normal 4" xfId="2" xr:uid="{E913E1E3-B411-4E4A-B861-930568787309}"/>
    <cellStyle name="Normal 47" xfId="7" xr:uid="{1F45872A-C156-4409-8BCA-E262CC726574}"/>
    <cellStyle name="Percent 2" xfId="6" xr:uid="{87880830-5298-4FF8-A6CB-B481FCE7F3A0}"/>
    <cellStyle name="Percent 3" xfId="12" xr:uid="{B919FE6D-2A1F-4FB0-B55D-67309E946CC4}"/>
    <cellStyle name="Style 147" xfId="11" xr:uid="{2FDAABF6-E4F1-4369-9CD5-A4662978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C4B4565B-CDA1-49AF-A6C5-30D380C3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940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258232</xdr:colOff>
      <xdr:row>17</xdr:row>
      <xdr:rowOff>79823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45F07-C3BE-E7E5-C5A0-6E16957AB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73432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58094</xdr:colOff>
      <xdr:row>33</xdr:row>
      <xdr:rowOff>86585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DF898-0A06-F08F-6D2A-860B34C8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63694" cy="6163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lphinprofessionalservi322-my.sharepoint.com/personal/ematondo_ke_dpsl_africa/Documents/Desktop/Westcon_EMEA_Template_Dolphin%20Proffessional%20Services%20Limited_LoftyCorban%20Investments_Quote#_2026_04_25047378_en.xlsx" TargetMode="External"/><Relationship Id="rId2" Type="http://schemas.microsoft.com/office/2019/04/relationships/externalLinkLongPath" Target="https://dolphinprofessionalservi322-my.sharepoint.com/personal/ematondo_ke_dpsl_africa/Documents/Desktop/Westcon_EMEA_Template_Dolphin%20Proffessional%20Services%20Limited_LoftyCorban%20Investments_Quote#_2026_04_25047378_en.xlsx?23B116E4" TargetMode="External"/><Relationship Id="rId1" Type="http://schemas.openxmlformats.org/officeDocument/2006/relationships/externalLinkPath" Target="file:///\\23B116E4\Westcon_EMEA_Template_Dolphin%20Proffessional%20Services%20Limited_LoftyCorban%20Investments_Quote%23_2026_04_25047378_e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 (2)"/>
      <sheetName val="Sheet1"/>
      <sheetName val="Services"/>
    </sheetNames>
    <definedNames>
      <definedName name="GoAssetChart" refersTo="#REF!" sheetId="0"/>
      <definedName name="GoBack" refersTo="#REF!" sheetId="0"/>
      <definedName name="GoBalanceSheet" refersTo="#REF!" sheetId="0"/>
      <definedName name="GoCashFlow" refersTo="#REF!" sheetId="0"/>
      <definedName name="GoData" refersTo="#REF!" sheetId="0"/>
      <definedName name="GoIncomeChart" refersTo="#REF!" sheetId="0"/>
      <definedName name="Nada" refersTo="#REF!" sheetId="0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lphin.co.t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8F16-FCC6-4D5A-8194-9DA7449249C0}">
  <sheetPr>
    <pageSetUpPr fitToPage="1"/>
  </sheetPr>
  <dimension ref="A1:W31"/>
  <sheetViews>
    <sheetView view="pageBreakPreview" topLeftCell="B1" zoomScale="25" zoomScaleNormal="100" zoomScaleSheetLayoutView="25" zoomScalePageLayoutView="25" workbookViewId="0">
      <selection activeCell="O17" sqref="O17"/>
    </sheetView>
  </sheetViews>
  <sheetFormatPr defaultColWidth="9.1796875" defaultRowHeight="31" x14ac:dyDescent="0.7"/>
  <cols>
    <col min="1" max="1" width="0" style="63" hidden="1" customWidth="1"/>
    <col min="2" max="3" width="0.81640625" style="63" customWidth="1"/>
    <col min="4" max="4" width="15" style="63" customWidth="1"/>
    <col min="5" max="5" width="61.1796875" style="63" bestFit="1" customWidth="1"/>
    <col min="6" max="6" width="157.1796875" style="63" customWidth="1"/>
    <col min="7" max="7" width="20.453125" style="63" customWidth="1"/>
    <col min="8" max="8" width="59" style="104" customWidth="1"/>
    <col min="9" max="9" width="68.6328125" style="63" customWidth="1"/>
    <col min="10" max="11" width="9.1796875" style="63" customWidth="1"/>
    <col min="12" max="12" width="59.36328125" style="63" bestFit="1" customWidth="1"/>
    <col min="13" max="13" width="59.36328125" style="63" customWidth="1"/>
    <col min="14" max="14" width="35.453125" style="63" hidden="1" customWidth="1"/>
    <col min="15" max="15" width="53.08984375" style="85" customWidth="1"/>
    <col min="16" max="16" width="52.453125" style="63" customWidth="1"/>
    <col min="17" max="17" width="55.6328125" style="68" customWidth="1"/>
    <col min="18" max="18" width="47.1796875" style="63" customWidth="1"/>
    <col min="19" max="19" width="18.453125" style="63" bestFit="1" customWidth="1"/>
    <col min="20" max="20" width="43.1796875" style="63" bestFit="1" customWidth="1"/>
    <col min="21" max="21" width="39.81640625" style="63" bestFit="1" customWidth="1"/>
    <col min="22" max="22" width="36.81640625" style="63" bestFit="1" customWidth="1"/>
    <col min="23" max="23" width="50.36328125" style="63" bestFit="1" customWidth="1"/>
    <col min="24" max="24" width="34.453125" style="63" bestFit="1" customWidth="1"/>
    <col min="25" max="16384" width="9.1796875" style="63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0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1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2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3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</v>
      </c>
      <c r="I5" s="15"/>
      <c r="O5" s="16"/>
      <c r="P5" s="17"/>
      <c r="Q5" s="9"/>
    </row>
    <row r="6" spans="1:23" s="7" customFormat="1" ht="40" customHeight="1" x14ac:dyDescent="0.35">
      <c r="A6" s="10"/>
      <c r="D6" s="124"/>
      <c r="E6" s="125"/>
      <c r="F6" s="125"/>
      <c r="G6" s="18"/>
      <c r="H6" s="13" t="s">
        <v>5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6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 t="s">
        <v>7</v>
      </c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8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26" t="s">
        <v>9</v>
      </c>
      <c r="G10" s="126"/>
      <c r="H10" s="13" t="s">
        <v>10</v>
      </c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29" t="s">
        <v>36</v>
      </c>
      <c r="E11" s="130"/>
      <c r="F11" s="130"/>
      <c r="G11" s="32"/>
      <c r="H11" s="13" t="s">
        <v>38</v>
      </c>
      <c r="I11" s="33"/>
      <c r="L11" s="34"/>
      <c r="M11" s="9"/>
      <c r="N11" s="7"/>
      <c r="O11" s="8"/>
      <c r="P11" s="35"/>
      <c r="Q11" s="9" t="s">
        <v>11</v>
      </c>
    </row>
    <row r="12" spans="1:23" s="20" customFormat="1" ht="40" customHeight="1" x14ac:dyDescent="0.35">
      <c r="A12" s="19"/>
      <c r="D12" s="30" t="s">
        <v>37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11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12</v>
      </c>
      <c r="M13" s="44">
        <v>3000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27" t="s">
        <v>13</v>
      </c>
      <c r="E14" s="127" t="s">
        <v>14</v>
      </c>
      <c r="F14" s="127" t="s">
        <v>15</v>
      </c>
      <c r="G14" s="127" t="s">
        <v>16</v>
      </c>
      <c r="H14" s="110" t="s">
        <v>17</v>
      </c>
      <c r="I14" s="110" t="s">
        <v>18</v>
      </c>
      <c r="L14" s="48" t="s">
        <v>19</v>
      </c>
      <c r="M14" s="49">
        <v>1.3</v>
      </c>
      <c r="N14" s="50"/>
      <c r="O14" s="51" t="s">
        <v>20</v>
      </c>
      <c r="P14" s="51" t="s">
        <v>18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27"/>
      <c r="E15" s="127"/>
      <c r="F15" s="127"/>
      <c r="G15" s="128"/>
      <c r="H15" s="111"/>
      <c r="I15" s="111"/>
      <c r="L15" s="48" t="s">
        <v>21</v>
      </c>
      <c r="M15" s="55">
        <v>0.18</v>
      </c>
      <c r="N15" s="56"/>
      <c r="O15" s="57"/>
      <c r="P15" s="58"/>
      <c r="Q15" s="52"/>
      <c r="R15" s="53"/>
    </row>
    <row r="16" spans="1:23" s="20" customFormat="1" ht="33.5" customHeight="1" x14ac:dyDescent="0.35">
      <c r="A16" s="19"/>
      <c r="D16" s="112"/>
      <c r="E16" s="113"/>
      <c r="F16" s="114"/>
      <c r="G16" s="115"/>
      <c r="H16" s="115"/>
      <c r="I16" s="116"/>
      <c r="L16" s="48"/>
      <c r="M16" s="55"/>
      <c r="N16" s="56"/>
      <c r="O16" s="57"/>
      <c r="P16" s="58"/>
      <c r="Q16" s="52"/>
      <c r="R16" s="53"/>
    </row>
    <row r="17" spans="1:18" s="20" customFormat="1" ht="95" x14ac:dyDescent="1.1000000000000001">
      <c r="A17" s="19"/>
      <c r="D17" s="59">
        <v>1</v>
      </c>
      <c r="E17" s="108">
        <v>1</v>
      </c>
      <c r="F17" s="107" t="s">
        <v>34</v>
      </c>
      <c r="G17" s="109">
        <v>1</v>
      </c>
      <c r="H17" s="60">
        <f>O17*M$14*M$13</f>
        <v>17231916</v>
      </c>
      <c r="I17" s="60">
        <f>H17*G17</f>
        <v>17231916</v>
      </c>
      <c r="L17" s="48"/>
      <c r="M17" s="55"/>
      <c r="N17" s="56"/>
      <c r="O17" s="61">
        <v>4418.4399999999996</v>
      </c>
      <c r="P17" s="61">
        <f>O17*G17</f>
        <v>4418.4399999999996</v>
      </c>
      <c r="Q17" s="52"/>
      <c r="R17" s="53"/>
    </row>
    <row r="18" spans="1:18" s="68" customFormat="1" ht="19.5" customHeight="1" x14ac:dyDescent="1.1000000000000001">
      <c r="A18" s="62"/>
      <c r="B18" s="63"/>
      <c r="C18" s="63"/>
      <c r="D18" s="117"/>
      <c r="E18" s="118"/>
      <c r="F18" s="118"/>
      <c r="G18" s="118"/>
      <c r="H18" s="118"/>
      <c r="I18" s="119"/>
      <c r="J18" s="63"/>
      <c r="K18" s="63"/>
      <c r="L18" s="64"/>
      <c r="M18" s="65"/>
      <c r="N18" s="65"/>
      <c r="O18" s="66"/>
      <c r="P18" s="67"/>
      <c r="R18" s="63"/>
    </row>
    <row r="19" spans="1:18" s="68" customFormat="1" ht="47.5" x14ac:dyDescent="1.1000000000000001">
      <c r="A19" s="62"/>
      <c r="B19" s="63"/>
      <c r="C19" s="63"/>
      <c r="D19" s="69"/>
      <c r="E19" s="70"/>
      <c r="F19" s="70"/>
      <c r="G19" s="70"/>
      <c r="H19" s="71" t="s">
        <v>22</v>
      </c>
      <c r="I19" s="72">
        <f>SUM(I17:I17)</f>
        <v>17231916</v>
      </c>
      <c r="J19" s="63"/>
      <c r="K19" s="63"/>
      <c r="L19" s="73"/>
      <c r="M19" s="65"/>
      <c r="N19" s="65"/>
      <c r="O19" s="74" t="s">
        <v>23</v>
      </c>
      <c r="P19" s="75">
        <f>SUM(P17:P17)</f>
        <v>4418.4399999999996</v>
      </c>
      <c r="Q19" s="76">
        <f>P19*M13</f>
        <v>13255319.999999998</v>
      </c>
      <c r="R19" s="63"/>
    </row>
    <row r="20" spans="1:18" s="68" customFormat="1" ht="47.5" x14ac:dyDescent="1.1000000000000001">
      <c r="A20" s="62"/>
      <c r="B20" s="63"/>
      <c r="C20" s="63"/>
      <c r="D20" s="69"/>
      <c r="E20" s="70"/>
      <c r="F20" s="70"/>
      <c r="G20" s="70"/>
      <c r="H20" s="77" t="s">
        <v>24</v>
      </c>
      <c r="I20" s="72">
        <f>I19*M15</f>
        <v>3101744.88</v>
      </c>
      <c r="J20" s="63"/>
      <c r="K20" s="78" t="s">
        <v>25</v>
      </c>
      <c r="L20" s="79">
        <f>(I19-Q19)</f>
        <v>3976596.0000000019</v>
      </c>
      <c r="M20" s="80">
        <f>L20/Q19</f>
        <v>0.30000000000000016</v>
      </c>
      <c r="N20" s="65"/>
      <c r="O20" s="81" t="s">
        <v>26</v>
      </c>
      <c r="P20" s="75">
        <f>P19*M15</f>
        <v>795.31919999999991</v>
      </c>
      <c r="Q20" s="68" t="s">
        <v>11</v>
      </c>
      <c r="R20" s="63"/>
    </row>
    <row r="21" spans="1:18" s="68" customFormat="1" ht="47.5" x14ac:dyDescent="1.1000000000000001">
      <c r="A21" s="62"/>
      <c r="B21" s="63"/>
      <c r="C21" s="63"/>
      <c r="D21" s="69"/>
      <c r="E21" s="70"/>
      <c r="F21" s="70"/>
      <c r="G21" s="70"/>
      <c r="H21" s="77" t="s">
        <v>27</v>
      </c>
      <c r="I21" s="72">
        <f>SUM(I19:I20)</f>
        <v>20333660.879999999</v>
      </c>
      <c r="J21" s="63"/>
      <c r="K21" s="63"/>
      <c r="L21" s="82"/>
      <c r="M21" s="65"/>
      <c r="N21" s="65"/>
      <c r="O21" s="81" t="s">
        <v>28</v>
      </c>
      <c r="P21" s="75">
        <f>SUM(P19:P20)</f>
        <v>5213.7591999999995</v>
      </c>
      <c r="Q21" s="68" t="s">
        <v>11</v>
      </c>
      <c r="R21" s="63"/>
    </row>
    <row r="22" spans="1:18" s="68" customFormat="1" ht="14.5" customHeight="1" x14ac:dyDescent="1.1000000000000001">
      <c r="A22" s="62"/>
      <c r="B22" s="63"/>
      <c r="C22" s="63"/>
      <c r="D22" s="69"/>
      <c r="E22" s="70"/>
      <c r="F22" s="70" t="s">
        <v>11</v>
      </c>
      <c r="G22" s="70"/>
      <c r="H22" s="70"/>
      <c r="I22" s="83"/>
      <c r="J22" s="63"/>
      <c r="K22" s="63"/>
      <c r="L22" s="84" t="s">
        <v>11</v>
      </c>
      <c r="M22" s="63"/>
      <c r="N22" s="63"/>
      <c r="O22" s="85"/>
      <c r="P22" s="63"/>
      <c r="R22" s="63"/>
    </row>
    <row r="23" spans="1:18" s="68" customFormat="1" ht="47.5" customHeight="1" x14ac:dyDescent="1.1000000000000001">
      <c r="A23" s="62"/>
      <c r="B23" s="63"/>
      <c r="C23" s="63"/>
      <c r="D23" s="120" t="s">
        <v>33</v>
      </c>
      <c r="E23" s="121"/>
      <c r="F23" s="121"/>
      <c r="G23" s="70"/>
      <c r="H23" s="70"/>
      <c r="I23" s="83" t="s">
        <v>11</v>
      </c>
      <c r="J23" s="63"/>
      <c r="K23" s="63"/>
      <c r="L23" s="86"/>
      <c r="M23" s="63"/>
      <c r="N23" s="63"/>
      <c r="O23" s="87"/>
      <c r="P23" s="87"/>
      <c r="Q23" s="88"/>
      <c r="R23" s="63"/>
    </row>
    <row r="24" spans="1:18" s="68" customFormat="1" ht="47.5" x14ac:dyDescent="1.1000000000000001">
      <c r="A24" s="62"/>
      <c r="B24" s="63"/>
      <c r="C24" s="63"/>
      <c r="D24" s="89" t="s">
        <v>35</v>
      </c>
      <c r="E24" s="90"/>
      <c r="F24" s="91"/>
      <c r="G24" s="70"/>
      <c r="H24" s="70" t="s">
        <v>11</v>
      </c>
      <c r="I24" s="83"/>
      <c r="J24" s="63"/>
      <c r="K24" s="63"/>
      <c r="L24" s="92"/>
      <c r="M24" s="93"/>
      <c r="N24" s="63"/>
      <c r="O24" s="87"/>
      <c r="P24" s="87"/>
      <c r="Q24" s="88"/>
      <c r="R24" s="63"/>
    </row>
    <row r="25" spans="1:18" s="68" customFormat="1" ht="47.5" x14ac:dyDescent="1.1000000000000001">
      <c r="A25" s="62"/>
      <c r="B25" s="63"/>
      <c r="C25" s="63"/>
      <c r="D25" s="94" t="s">
        <v>29</v>
      </c>
      <c r="E25" s="42"/>
      <c r="F25" s="95"/>
      <c r="G25" s="70"/>
      <c r="H25" s="70"/>
      <c r="I25" s="83"/>
      <c r="J25" s="63"/>
      <c r="K25" s="63"/>
      <c r="L25" s="93"/>
      <c r="M25" s="63"/>
      <c r="N25" s="63"/>
      <c r="O25" s="87"/>
      <c r="P25" s="87"/>
      <c r="Q25" s="88"/>
      <c r="R25" s="63"/>
    </row>
    <row r="26" spans="1:18" s="68" customFormat="1" ht="47.5" x14ac:dyDescent="1.1000000000000001">
      <c r="A26" s="62"/>
      <c r="B26" s="63"/>
      <c r="C26" s="63"/>
      <c r="D26" s="96" t="s">
        <v>30</v>
      </c>
      <c r="E26" s="13"/>
      <c r="F26" s="32"/>
      <c r="G26" s="70"/>
      <c r="H26" s="70"/>
      <c r="I26" s="83"/>
      <c r="J26" s="63"/>
      <c r="K26" s="63"/>
      <c r="L26" s="97"/>
      <c r="M26" s="73"/>
      <c r="N26" s="63"/>
      <c r="O26" s="87"/>
      <c r="P26" s="87"/>
      <c r="Q26" s="88"/>
      <c r="R26" s="63"/>
    </row>
    <row r="27" spans="1:18" s="68" customFormat="1" ht="11.5" customHeight="1" x14ac:dyDescent="1.1000000000000001">
      <c r="A27" s="62"/>
      <c r="B27" s="63"/>
      <c r="C27" s="63"/>
      <c r="D27" s="96"/>
      <c r="E27" s="13"/>
      <c r="F27" s="32"/>
      <c r="G27" s="70"/>
      <c r="H27" s="70"/>
      <c r="I27" s="83"/>
      <c r="J27" s="63"/>
      <c r="K27" s="63"/>
      <c r="L27" s="97"/>
      <c r="M27" s="73"/>
      <c r="N27" s="63"/>
      <c r="O27" s="87"/>
      <c r="P27" s="87"/>
      <c r="Q27" s="88"/>
      <c r="R27" s="63"/>
    </row>
    <row r="28" spans="1:18" s="68" customFormat="1" ht="47.5" x14ac:dyDescent="1.1000000000000001">
      <c r="A28" s="62"/>
      <c r="B28" s="63"/>
      <c r="C28" s="63"/>
      <c r="D28" s="122" t="s">
        <v>31</v>
      </c>
      <c r="E28" s="123"/>
      <c r="F28" s="123"/>
      <c r="G28" s="70"/>
      <c r="H28" s="70"/>
      <c r="I28" s="83"/>
      <c r="J28" s="63"/>
      <c r="K28" s="63"/>
      <c r="L28" s="97"/>
      <c r="M28" s="98"/>
      <c r="N28" s="63"/>
      <c r="O28" s="87"/>
      <c r="P28" s="87"/>
      <c r="Q28" s="88"/>
      <c r="R28" s="63"/>
    </row>
    <row r="29" spans="1:18" s="68" customFormat="1" ht="47.5" x14ac:dyDescent="1.1000000000000001">
      <c r="A29" s="62"/>
      <c r="B29" s="63"/>
      <c r="C29" s="63"/>
      <c r="D29" s="99" t="s">
        <v>32</v>
      </c>
      <c r="E29" s="100"/>
      <c r="F29" s="101"/>
      <c r="G29" s="102"/>
      <c r="H29" s="102"/>
      <c r="I29" s="103"/>
      <c r="J29" s="63"/>
      <c r="K29" s="63"/>
      <c r="L29" s="97"/>
      <c r="M29" s="63"/>
      <c r="N29" s="63"/>
      <c r="O29" s="87"/>
      <c r="P29" s="87"/>
      <c r="Q29" s="88"/>
      <c r="R29" s="63"/>
    </row>
    <row r="30" spans="1:18" ht="47.5" x14ac:dyDescent="0.7">
      <c r="P30" s="105"/>
      <c r="Q30" s="106"/>
    </row>
    <row r="31" spans="1:18" ht="47.5" x14ac:dyDescent="0.7">
      <c r="P31" s="105"/>
      <c r="Q31" s="106"/>
    </row>
  </sheetData>
  <mergeCells count="13">
    <mergeCell ref="D28:F28"/>
    <mergeCell ref="D6:F6"/>
    <mergeCell ref="F10:G10"/>
    <mergeCell ref="D14:D15"/>
    <mergeCell ref="E14:E15"/>
    <mergeCell ref="F14:F15"/>
    <mergeCell ref="G14:G15"/>
    <mergeCell ref="D11:F11"/>
    <mergeCell ref="H14:H15"/>
    <mergeCell ref="I14:I15"/>
    <mergeCell ref="D16:I16"/>
    <mergeCell ref="D18:I18"/>
    <mergeCell ref="D23:F23"/>
  </mergeCells>
  <hyperlinks>
    <hyperlink ref="H8" r:id="rId1" xr:uid="{F752788F-7DA9-440E-A032-44BEC6B63B48}"/>
  </hyperlink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2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AC68-7F19-4294-B4C1-0C3A3F4ACC1D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D922-304C-4627-8104-4ED6F4238FE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Quote</vt:lpstr>
      <vt:lpstr>NIC QN-3400021283028.1</vt:lpstr>
      <vt:lpstr>Sheet1</vt:lpstr>
      <vt:lpstr>Quote!Print_Area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cp:lastPrinted>2026-04-27T10:11:09Z</cp:lastPrinted>
  <dcterms:created xsi:type="dcterms:W3CDTF">2026-03-26T07:20:38Z</dcterms:created>
  <dcterms:modified xsi:type="dcterms:W3CDTF">2026-05-12T09:47:22Z</dcterms:modified>
</cp:coreProperties>
</file>