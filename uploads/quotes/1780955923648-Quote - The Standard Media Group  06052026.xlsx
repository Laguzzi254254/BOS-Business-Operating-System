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uotes\2026\March\Standard\"/>
    </mc:Choice>
  </mc:AlternateContent>
  <xr:revisionPtr revIDLastSave="0" documentId="13_ncr:1_{1F781085-2669-4C6F-A95E-C22DF3632C89}" xr6:coauthVersionLast="47" xr6:coauthVersionMax="47" xr10:uidLastSave="{00000000-0000-0000-0000-000000000000}"/>
  <bookViews>
    <workbookView xWindow="-110" yWindow="-110" windowWidth="19420" windowHeight="11500" xr2:uid="{FEA27088-D0D0-47A6-B269-A6AE23E53A3C}"/>
  </bookViews>
  <sheets>
    <sheet name="Quote (4)" sheetId="14" r:id="rId1"/>
    <sheet name="Sheet1" sheetId="15" r:id="rId2"/>
    <sheet name="Quote (3)" sheetId="9" r:id="rId3"/>
    <sheet name="Pricing " sheetId="12" r:id="rId4"/>
    <sheet name="BOM" sheetId="13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IntlFixup" hidden="1">TRUE</definedName>
    <definedName name="_OB300">[1]PriceGuide!#REF!</definedName>
    <definedName name="_sup1">[1]PriceGuide!#REF!</definedName>
    <definedName name="_sup2">[1]PriceGuide!#REF!</definedName>
    <definedName name="acctrate">[1]PriceGuide!#REF!</definedName>
    <definedName name="ageing">[1]PriceGuide!$A:$O</definedName>
    <definedName name="BRS_FLOOR_ANALYSIS_LINES_TO_FORMAT0">[2]Sheet1!#REF!</definedName>
    <definedName name="BRS_FLOOR_ANALYSIS_LINES_TO_FORMAT1">[2]Sheet1!#REF!</definedName>
    <definedName name="BRS_FLOOR_ANALYSIS_SECTION">[2]Sheet1!#REF!</definedName>
    <definedName name="calc1">[1]PriceGuide!$1:$1048576</definedName>
    <definedName name="COST">[1]PriceGuide!$H:$H</definedName>
    <definedName name="_xlnm.Criteria">[1]PriceGuide!#REF!</definedName>
    <definedName name="CSI_LINE_PS">[2]Sheet1!#REF!</definedName>
    <definedName name="CSI_SECTION_PS_ALL">[2]Sheet1!#REF!</definedName>
    <definedName name="CSI_SECTION_PS_BOT">[2]Sheet1!#REF!</definedName>
    <definedName name="CSI_SECTION_PS_TOP">[2]Sheet1!#REF!</definedName>
    <definedName name="CSI_SUBTOTAL_PS">[2]Sheet1!#REF!</definedName>
    <definedName name="CURRENCY_CODE">#REF!</definedName>
    <definedName name="Data">[1]PriceGuide!$B$2:$I$571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8">#REF!</definedName>
    <definedName name="data9">#REF!</definedName>
    <definedName name="_xlnm.Database">[1]PriceGuide!#REF!</definedName>
    <definedName name="DDisc">[1]PriceGuide!$N:$N</definedName>
    <definedName name="DEALDISC">[1]PriceGuide!#REF!</definedName>
    <definedName name="DEALER">#REF!</definedName>
    <definedName name="DEXCL">[1]PriceGuide!$K:$K</definedName>
    <definedName name="Display_Area_2">#REF!</definedName>
    <definedName name="DUTY">[1]PriceGuide!#REF!</definedName>
    <definedName name="EXPCOST">[1]PriceGuide!#REF!</definedName>
    <definedName name="_xlnm.Extract">[1]PriceGuide!#REF!</definedName>
    <definedName name="GoAssetChart" localSheetId="2">'Quote (3)'!GoAssetChart</definedName>
    <definedName name="GoAssetChart" localSheetId="0">'Quote (4)'!GoAssetChart</definedName>
    <definedName name="GoAssetChart">'[3]Sheet1 (2)'!GoAssetChart</definedName>
    <definedName name="GoBack" localSheetId="2">'Quote (3)'!GoBack</definedName>
    <definedName name="GoBack" localSheetId="0">'Quote (4)'!GoBack</definedName>
    <definedName name="GoBack">'[3]Sheet1 (2)'!GoBack</definedName>
    <definedName name="GoBalanceSheet" localSheetId="2">'Quote (3)'!GoBalanceSheet</definedName>
    <definedName name="GoBalanceSheet" localSheetId="0">'Quote (4)'!GoBalanceSheet</definedName>
    <definedName name="GoBalanceSheet">'[3]Sheet1 (2)'!GoBalanceSheet</definedName>
    <definedName name="GoCashFlow" localSheetId="2">'Quote (3)'!GoCashFlow</definedName>
    <definedName name="GoCashFlow" localSheetId="0">'Quote (4)'!GoCashFlow</definedName>
    <definedName name="GoCashFlow">'[3]Sheet1 (2)'!GoCashFlow</definedName>
    <definedName name="GoData" localSheetId="2">'Quote (3)'!GoData</definedName>
    <definedName name="GoData" localSheetId="0">'Quote (4)'!GoData</definedName>
    <definedName name="GoData">'[3]Sheet1 (2)'!GoData</definedName>
    <definedName name="GoIncomeChart" localSheetId="2">'Quote (3)'!GoIncomeChart</definedName>
    <definedName name="GoIncomeChart" localSheetId="0">'Quote (4)'!GoIncomeChart</definedName>
    <definedName name="GoIncomeChart">'[3]Sheet1 (2)'!GoIncomeChart</definedName>
    <definedName name="Hiperdist_Alliances_SA" localSheetId="2">#REF!</definedName>
    <definedName name="Hiperdist_Alliances_SA" localSheetId="0">#REF!</definedName>
    <definedName name="Hiperdist_Alliances_SA">#REF!</definedName>
    <definedName name="HUBS">[1]PriceGuide!#REF!</definedName>
    <definedName name="INFOSTORE">[1]PriceGuide!$1:$1048576</definedName>
    <definedName name="Interdist_Alliances_UK" localSheetId="2">#REF!</definedName>
    <definedName name="Interdist_Alliances_UK" localSheetId="0">#REF!</definedName>
    <definedName name="Interdist_Alliances_UK">#REF!</definedName>
    <definedName name="LAN">[1]PriceGuide!#REF!</definedName>
    <definedName name="LAN_ADAPTERS">[1]PriceGuide!#REF!</definedName>
    <definedName name="LCPEX">[1]PriceGuide!#REF!</definedName>
    <definedName name="LCPIN">[1]PriceGuide!#REF!</definedName>
    <definedName name="List">[1]PriceGuide!$1:$1048576</definedName>
    <definedName name="LOGO" localSheetId="2">INDIRECT(#REF!)</definedName>
    <definedName name="LOGO" localSheetId="0">INDIRECT(#REF!)</definedName>
    <definedName name="LOGO">INDIRECT([4]PFI!$J$5)</definedName>
    <definedName name="MARKUP">[1]PriceGuide!$I:$I</definedName>
    <definedName name="MASS">[1]PriceGuide!#REF!</definedName>
    <definedName name="MASSTOR">[1]PriceGuide!#REF!</definedName>
    <definedName name="MISC_LINE_HW">[2]Sheet1!#REF!</definedName>
    <definedName name="MISC_LINE_SW">[2]Sheet1!#REF!</definedName>
    <definedName name="MISC_SECTION_HW_ALL">[2]Sheet1!#REF!</definedName>
    <definedName name="MISC_SECTION_HW_BOT">[2]Sheet1!#REF!</definedName>
    <definedName name="MISC_SECTION_HW_TOP">[2]Sheet1!#REF!</definedName>
    <definedName name="MISC_SECTION_SW_ALL">[2]Sheet1!#REF!</definedName>
    <definedName name="MISC_SECTION_SW_BOT">[2]Sheet1!#REF!</definedName>
    <definedName name="MISC_SECTION_SW_TOP">[2]Sheet1!#REF!</definedName>
    <definedName name="MISC_SUBTOTAL_HW">[2]Sheet1!#REF!</definedName>
    <definedName name="MISC_SUBTOTAL_SW">[2]Sheet1!#REF!</definedName>
    <definedName name="modem">[1]PriceGuide!#REF!</definedName>
    <definedName name="MONITORS">[1]PriceGuide!#REF!</definedName>
    <definedName name="MXM">[1]PriceGuide!#REF!</definedName>
    <definedName name="Nada" localSheetId="2">'Quote (3)'!Nada</definedName>
    <definedName name="Nada" localSheetId="0">'Quote (4)'!Nada</definedName>
    <definedName name="Nada">'[3]Sheet1 (2)'!Nada</definedName>
    <definedName name="NETSERV">[1]PriceGuide!#REF!</definedName>
    <definedName name="NO">#REF!</definedName>
    <definedName name="NSERIES">[1]PriceGuide!#REF!</definedName>
    <definedName name="NUMBER9">[1]PriceGuide!#REF!</definedName>
    <definedName name="OPENVIEW">[1]PriceGuide!#REF!</definedName>
    <definedName name="PLCALC">[1]PriceGuide!$A:$GH</definedName>
    <definedName name="plist">[1]PriceGuide!#REF!</definedName>
    <definedName name="PRECONTRACT_FLD_CFG_NAME">[2]Sheet1!#REF!</definedName>
    <definedName name="PRECONTRACT_FLD_CSI_DESCIPTION">[2]Sheet1!#REF!</definedName>
    <definedName name="PRECONTRACT_FLD_CSI_NAME">[2]Sheet1!#REF!</definedName>
    <definedName name="PRECONTRACT_LINE">[2]Sheet1!#REF!</definedName>
    <definedName name="PRECONTRACT_SECTION">[2]Sheet1!#REF!</definedName>
    <definedName name="PRECONTRACT_SECTION_CFG_TITLE">[2]Sheet1!#REF!</definedName>
    <definedName name="PRECONTRACT_SECTION_CSI">[2]Sheet1!#REF!</definedName>
    <definedName name="_xlnm.Print_Area" localSheetId="2">'Quote (3)'!$C$1:$I$31</definedName>
    <definedName name="_xlnm.Print_Area" localSheetId="0">'Quote (4)'!$C$1:$I$35</definedName>
    <definedName name="PROMO_SECTION">[2]Sheet1!#REF!</definedName>
    <definedName name="QUOTE_CURRENCY">#REF!</definedName>
    <definedName name="remote">[1]PriceGuide!#REF!</definedName>
    <definedName name="REPORT_LINES_TO_FORMAT">#REF!</definedName>
    <definedName name="REPORT_TOTALS_TO_FORMAT">#REF!</definedName>
    <definedName name="REPORT_TOTALS_TO_FORMAT4">[2]Sheet1!#REF!</definedName>
    <definedName name="REPORT_TOTALS_TO_FORMAT5">[2]Sheet1!#REF!</definedName>
    <definedName name="retail">#REF!</definedName>
    <definedName name="RRP">[1]PriceGuide!#REF!</definedName>
    <definedName name="rrpexcl">[1]PriceGuide!#REF!</definedName>
    <definedName name="SAGP">[1]PriceGuide!$L:$L</definedName>
    <definedName name="SDDINCL">[1]PriceGuide!#REF!</definedName>
    <definedName name="sddperc">[1]PriceGuide!#REF!</definedName>
    <definedName name="server">[1]PriceGuide!$1:$1048576</definedName>
    <definedName name="SOFTWARE">[1]PriceGuide!#REF!</definedName>
    <definedName name="SPPL">[1]PriceGuide!$A:$E</definedName>
    <definedName name="storage">[1]PriceGuide!$1:$1048576</definedName>
    <definedName name="TARSUS">[1]PriceGuide!$1:$1048576</definedName>
    <definedName name="TOT">#REF!</definedName>
    <definedName name="TRADEIN_SECTION">[2]Sheet1!#REF!</definedName>
    <definedName name="TRADEIN_SECTION_TOTAL">[2]Sheet1!#REF!</definedName>
    <definedName name="VAD_discount">#N/A</definedName>
    <definedName name="VAR_discount">#N/A</definedName>
    <definedName name="vatsa">[1]PriceGuide!$AC$2</definedName>
    <definedName name="VL">[1]PriceGuide!#REF!</definedName>
    <definedName name="vol">[1]PriceGuide!$R:$R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4" l="1"/>
  <c r="I23" i="14" s="1"/>
  <c r="H22" i="14"/>
  <c r="I22" i="14" s="1"/>
  <c r="P21" i="14"/>
  <c r="H21" i="14"/>
  <c r="I21" i="14" s="1"/>
  <c r="P20" i="14"/>
  <c r="H20" i="14"/>
  <c r="I20" i="14" s="1"/>
  <c r="P19" i="14"/>
  <c r="H19" i="14"/>
  <c r="I19" i="14" s="1"/>
  <c r="P18" i="14"/>
  <c r="H18" i="14"/>
  <c r="I18" i="14" s="1"/>
  <c r="P17" i="14"/>
  <c r="P25" i="14" s="1"/>
  <c r="H17" i="14"/>
  <c r="I17" i="14" s="1"/>
  <c r="I25" i="14" s="1"/>
  <c r="P16" i="14"/>
  <c r="P15" i="14"/>
  <c r="P21" i="9"/>
  <c r="I21" i="9"/>
  <c r="I26" i="14" l="1"/>
  <c r="I27" i="14" s="1"/>
  <c r="P26" i="14"/>
  <c r="P27" i="14" s="1"/>
  <c r="Q25" i="14"/>
  <c r="L26" i="14" s="1"/>
  <c r="M26" i="14" s="1"/>
  <c r="P17" i="9"/>
  <c r="P16" i="9"/>
  <c r="P15" i="9"/>
  <c r="H19" i="9"/>
  <c r="I19" i="9"/>
  <c r="F5" i="12"/>
  <c r="F4" i="12"/>
  <c r="F3" i="12"/>
  <c r="F6" i="12" s="1"/>
  <c r="F8" i="12" s="1"/>
  <c r="H18" i="9" l="1"/>
  <c r="I18" i="9" s="1"/>
  <c r="H17" i="9"/>
  <c r="I17" i="9" s="1"/>
  <c r="Q21" i="9" l="1"/>
  <c r="P22" i="9"/>
  <c r="P23" i="9" s="1"/>
  <c r="I22" i="9"/>
  <c r="I23" i="9" s="1"/>
  <c r="L22" i="9" l="1"/>
  <c r="M22" i="9" s="1"/>
</calcChain>
</file>

<file path=xl/sharedStrings.xml><?xml version="1.0" encoding="utf-8"?>
<sst xmlns="http://schemas.openxmlformats.org/spreadsheetml/2006/main" count="263" uniqueCount="147">
  <si>
    <t>PROFORMA INVOICE</t>
  </si>
  <si>
    <t xml:space="preserve"> </t>
  </si>
  <si>
    <t>Exchange rate</t>
  </si>
  <si>
    <t>SN</t>
  </si>
  <si>
    <t>PART NUMBER</t>
  </si>
  <si>
    <t>DESCRIPTION</t>
  </si>
  <si>
    <t>QTY</t>
  </si>
  <si>
    <t>UNIT PRICE</t>
  </si>
  <si>
    <t>TOTAL PRICE</t>
  </si>
  <si>
    <t>Margin</t>
  </si>
  <si>
    <t xml:space="preserve">UNIT PRICE </t>
  </si>
  <si>
    <t>Vat</t>
  </si>
  <si>
    <t>SUBTOTAL</t>
  </si>
  <si>
    <t>Subtotal</t>
  </si>
  <si>
    <t>GP</t>
  </si>
  <si>
    <t>TOTAL</t>
  </si>
  <si>
    <t>Total</t>
  </si>
  <si>
    <t>PAYMENT TERMS : 100% Upfront</t>
  </si>
  <si>
    <t>LPO Required for Order Confirmation</t>
  </si>
  <si>
    <t>Sales Department</t>
  </si>
  <si>
    <t>Dolphin Professional Services Limited</t>
  </si>
  <si>
    <t>DELIVERY TIMEFRAME: 1-2 Weeks</t>
  </si>
  <si>
    <t>QUOTE VALIDITY : 30 Days</t>
  </si>
  <si>
    <t>Company: The Standard Media Group</t>
  </si>
  <si>
    <t>PIN : P052086054D</t>
  </si>
  <si>
    <t>PN</t>
  </si>
  <si>
    <t xml:space="preserve">Details </t>
  </si>
  <si>
    <t>Quantity</t>
  </si>
  <si>
    <t xml:space="preserve">Unit </t>
  </si>
  <si>
    <t>7DGDCTO1WW</t>
  </si>
  <si>
    <t>Server ThinkSystem SR650 V4-3yr Base Warranty</t>
  </si>
  <si>
    <t>1</t>
  </si>
  <si>
    <t>5641PX3</t>
  </si>
  <si>
    <t>software1 XClarity Pro, Per Endpoint w/3 Yr SW S&amp;S</t>
  </si>
  <si>
    <t>7S0XCTO8WW</t>
  </si>
  <si>
    <t>software3 XClarity Controller Prem-FOD</t>
  </si>
  <si>
    <t xml:space="preserve">Sub-total </t>
  </si>
  <si>
    <t>CIF to Dar es Salaam</t>
  </si>
  <si>
    <t/>
  </si>
  <si>
    <t>Feature Code</t>
  </si>
  <si>
    <t>Description</t>
  </si>
  <si>
    <t>Qty</t>
  </si>
  <si>
    <t>C3QK</t>
  </si>
  <si>
    <t>ThinkSystem SR650 V4 24x2.5" Chassis</t>
  </si>
  <si>
    <t>C3JB</t>
  </si>
  <si>
    <t>ThinkSystem General Computing - Power Efficiency</t>
  </si>
  <si>
    <t>BVGL</t>
  </si>
  <si>
    <t>Data Center Environment 30 Degree Celsius / 86 Degree Fahrenheit</t>
  </si>
  <si>
    <t>C5QV</t>
  </si>
  <si>
    <t>Intel Xeon 6517P 16C 190W 3.2GHz Processor</t>
  </si>
  <si>
    <t>2</t>
  </si>
  <si>
    <t>BPDQ</t>
  </si>
  <si>
    <t>ThinkSystem SR650 V3 AL Extrusion Entry Heatsink</t>
  </si>
  <si>
    <t>BYTJ</t>
  </si>
  <si>
    <t>ThinkSystem 32GB TruDDR5 6400MHz (2Rx8) RDIMM</t>
  </si>
  <si>
    <t>5977</t>
  </si>
  <si>
    <t>Select Storage devices - no configured RAID required</t>
  </si>
  <si>
    <t>B8NY</t>
  </si>
  <si>
    <t>ThinkSystem RAID 940-8i 4GB Flash PCIe Gen4 12Gb Adapter</t>
  </si>
  <si>
    <t>C3RT</t>
  </si>
  <si>
    <t>ThinkSystem 2U V4 8x2.5" SAS/SATA Backplane</t>
  </si>
  <si>
    <t>AUZV</t>
  </si>
  <si>
    <t>ThinkSystem Broadcom 5719 1GbE RJ45 4-Port PCIe Ethernet Adapter</t>
  </si>
  <si>
    <t>C62D</t>
  </si>
  <si>
    <t>ThinkSystem SR650/a V4 x16 Rear Direct Riser Slot 5</t>
  </si>
  <si>
    <t>C4U0</t>
  </si>
  <si>
    <t>ThinkSystem SR650/a V4 x16 Rear Direct Riser Slot 8</t>
  </si>
  <si>
    <t>C2Y9</t>
  </si>
  <si>
    <t>ThinkSystem 1300W 230V/115V Titanium CRPS Hot-Swap Power Supply v2.4</t>
  </si>
  <si>
    <t>6400</t>
  </si>
  <si>
    <t>2.8m, 13A/100-250V, C13 to C14 Jumper Cord</t>
  </si>
  <si>
    <t>C3RQ</t>
  </si>
  <si>
    <t>ThinkSystem 2U 6038 24K Standard Fan Module</t>
  </si>
  <si>
    <t>6</t>
  </si>
  <si>
    <t>C2DH</t>
  </si>
  <si>
    <t>ThinkSystem Toolless Slide Rail Kit V4</t>
  </si>
  <si>
    <t>BQQ2</t>
  </si>
  <si>
    <t>ThinkSystem 2U V3 EIA Latch Standard</t>
  </si>
  <si>
    <t>BPKR</t>
  </si>
  <si>
    <t>TPM 2.0</t>
  </si>
  <si>
    <t>C3K9</t>
  </si>
  <si>
    <t>XClarity Platinum Upgrade v3</t>
  </si>
  <si>
    <t>C4S2</t>
  </si>
  <si>
    <t>ThinkSystem SR650 V4 Processor Board</t>
  </si>
  <si>
    <t>CB2P</t>
  </si>
  <si>
    <t>SR650 V4 Laser service indicator</t>
  </si>
  <si>
    <t>B0ML</t>
  </si>
  <si>
    <t>Feature Enable TPM on MB</t>
  </si>
  <si>
    <t>AVEN</t>
  </si>
  <si>
    <t>ThinkSystem 1x1 2.5" HDD Filler</t>
  </si>
  <si>
    <t>4</t>
  </si>
  <si>
    <t>BPP5</t>
  </si>
  <si>
    <t>OCP3.0 Filler with screw</t>
  </si>
  <si>
    <t>AVEP</t>
  </si>
  <si>
    <t>ThinkSystem 4x1 2.5" HDD Filler</t>
  </si>
  <si>
    <t>AVEQ</t>
  </si>
  <si>
    <t>ThinkSystem 8x1 2.5" HDD Filler</t>
  </si>
  <si>
    <t>BU1E</t>
  </si>
  <si>
    <t>Top Choice flag</t>
  </si>
  <si>
    <t>C3RN</t>
  </si>
  <si>
    <t>ThinkSystem 2U Main Air Duct</t>
  </si>
  <si>
    <t>C3RJ</t>
  </si>
  <si>
    <t>ThinkSystem 2U 2LP Riser Cage Filler</t>
  </si>
  <si>
    <t>AUNP</t>
  </si>
  <si>
    <t>ThinkSystem RAID 930/940 SuperCap</t>
  </si>
  <si>
    <t>C7Y8</t>
  </si>
  <si>
    <t>ThinkSystem SR650 V4 System I/O Board</t>
  </si>
  <si>
    <t>C26Y</t>
  </si>
  <si>
    <t>ThinkSystem V4 CPU HS Clip</t>
  </si>
  <si>
    <t>C3S5</t>
  </si>
  <si>
    <t>ThinkSystem 2U V4 3FH Riser Cage</t>
  </si>
  <si>
    <t>C3R0</t>
  </si>
  <si>
    <t>ThinkSystem Power Cable, 2x6+12 P-2x3+6 P, 250 mm</t>
  </si>
  <si>
    <t>C3QX</t>
  </si>
  <si>
    <t>ThinkSystem G4 SAS Cable, SLX8-SLX8, 900mm</t>
  </si>
  <si>
    <t>C21H</t>
  </si>
  <si>
    <t>ThinkSystem Supercap Cable, 1X9 receptacle to 2X4 microfit receptacle, 380mm</t>
  </si>
  <si>
    <t>1340</t>
  </si>
  <si>
    <t>Lenovo XClarity Pro, Per Managed Endpoint w/3 Yr SW S&amp;S</t>
  </si>
  <si>
    <t>5374CM1</t>
  </si>
  <si>
    <t>software2 Configuration Instruction</t>
  </si>
  <si>
    <t>SCY0</t>
  </si>
  <si>
    <t>Lenovo XClarity XCC3 premier - FOD</t>
  </si>
  <si>
    <r>
      <t>Date: 7</t>
    </r>
    <r>
      <rPr>
        <b/>
        <vertAlign val="superscript"/>
        <sz val="36"/>
        <color theme="1"/>
        <rFont val="Aptos Narrow"/>
        <family val="2"/>
        <scheme val="minor"/>
      </rPr>
      <t>th</t>
    </r>
    <r>
      <rPr>
        <b/>
        <sz val="36"/>
        <color theme="1"/>
        <rFont val="Aptos Narrow"/>
        <family val="2"/>
        <scheme val="minor"/>
      </rPr>
      <t xml:space="preserve"> May 2026</t>
    </r>
  </si>
  <si>
    <t>Ref: DPSL/TSMG/2026/05/07</t>
  </si>
  <si>
    <t>Dolphin Ke Professional Services Limited,</t>
  </si>
  <si>
    <t>Westcom Point | Wing A | 4th Floor,</t>
  </si>
  <si>
    <t>Mahiga Mairu Avenue</t>
  </si>
  <si>
    <t>Nairobi, Kenya</t>
  </si>
  <si>
    <t>Telephone: +254117220000</t>
  </si>
  <si>
    <t>Email: sales@dpsl.africa</t>
  </si>
  <si>
    <t>Website: www.dpsl.africa</t>
  </si>
  <si>
    <t>Vat(16%)</t>
  </si>
  <si>
    <t>VAT(16%)</t>
  </si>
  <si>
    <t>P52560-421</t>
  </si>
  <si>
    <t xml:space="preserve">	
HPE ProLiant DL380 Gen11 server with one Intel® Xeon® Silver 4410Y Processor, 32 GB (1x32 GB) Dual Rank Memory, one HPE MR408i-o Gen11 x8 Lanes 4GB Cache OCP SPDM Storage Controller, Drive Bay(s) for 8 small form factor drives, four standard fans, one HPE 1000W Flex Slot Titanium Hot Plug Power Supply Kit, and a 3/3/3 warranty</t>
  </si>
  <si>
    <t>P49610-B21</t>
  </si>
  <si>
    <t>Intel Xeon-Silver 4410Y 2.0GHz 12-core 150W Processor for HPE</t>
  </si>
  <si>
    <t>P49145-B21</t>
  </si>
  <si>
    <t>HPE DL380 Gen11 Std Heat Sink Kit</t>
  </si>
  <si>
    <t>P49146-B21</t>
  </si>
  <si>
    <t>HPE DL380 Gen11 Std Fan Kit</t>
  </si>
  <si>
    <t>P43328-B21</t>
  </si>
  <si>
    <t>HPE 32GB 2Rx8 PC5-4800B-R Smart Kit</t>
  </si>
  <si>
    <t>P28586-B21</t>
  </si>
  <si>
    <t xml:space="preserve">	
HPE 1.2TB SAS 12G Mission Critical 10K SFF BC 3-year Warranty Multi Vendor HDD</t>
  </si>
  <si>
    <t>P03178-B21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</si>
</sst>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TSh&quot;* #,##0.00_-;\-&quot;TSh&quot;* #,##0.00_-;_-&quot;TSh&quot;* &quot;-&quot;??_-;_-@_-"/>
    <numFmt numFmtId="165" formatCode="&quot;$&quot;#,##0.00;[Red]&quot;$&quot;#,##0.00"/>
    <numFmt numFmtId="166" formatCode="_(&quot;$&quot;* #,##0.00_);_(&quot;$&quot;* \(#,##0.00\);_(&quot;$&quot;* &quot;-&quot;??_);_(@_)"/>
    <numFmt numFmtId="167" formatCode="_([$TZS]\ * #,##0.00_);_([$TZS]\ * \(#,##0.00\);_([$TZS]\ * &quot;-&quot;??_);_(@_)"/>
    <numFmt numFmtId="168" formatCode="_-[$$-409]* #,##0.00_ ;_-[$$-409]* \-#,##0.00\ ;_-[$$-409]* &quot;-&quot;??_ ;_-@_ "/>
    <numFmt numFmtId="169" formatCode="[$$-409]#,##0.00;[Red][$$-409]#,##0.00"/>
    <numFmt numFmtId="170" formatCode="_(* #,##0.00_);_(* \(#,##0.00\);_(* &quot;-&quot;??_);_(@_)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4"/>
      <color indexed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8"/>
      <color rgb="FF00B0F0"/>
      <name val="Aptos Narrow"/>
      <family val="2"/>
      <scheme val="minor"/>
    </font>
    <font>
      <b/>
      <i/>
      <sz val="24"/>
      <color rgb="FF00B0F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indexed="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i/>
      <sz val="48"/>
      <color rgb="FF00B0F0"/>
      <name val="Aptos Narrow"/>
      <family val="2"/>
      <scheme val="minor"/>
    </font>
    <font>
      <b/>
      <vertAlign val="superscript"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indexed="8"/>
      <name val="Aptos Narrow"/>
      <family val="2"/>
      <scheme val="minor"/>
    </font>
    <font>
      <b/>
      <sz val="36"/>
      <color indexed="8"/>
      <name val="Aptos Narrow"/>
      <family val="2"/>
      <scheme val="minor"/>
    </font>
    <font>
      <b/>
      <sz val="22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name val="Aptos Narrow"/>
      <family val="2"/>
      <scheme val="minor"/>
    </font>
    <font>
      <sz val="22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28"/>
      <color rgb="FF002060"/>
      <name val="Aptos Narrow"/>
      <family val="2"/>
      <scheme val="minor"/>
    </font>
    <font>
      <b/>
      <sz val="20"/>
      <name val="Aptos Narrow"/>
      <family val="2"/>
      <scheme val="minor"/>
    </font>
    <font>
      <b/>
      <i/>
      <sz val="36"/>
      <color rgb="FF00B0F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name val="Times New Roman"/>
      <family val="1"/>
    </font>
    <font>
      <sz val="10"/>
      <color indexed="8"/>
      <name val="Calibri"/>
      <family val="2"/>
    </font>
    <font>
      <b/>
      <sz val="10"/>
      <name val="Arial"/>
    </font>
    <font>
      <sz val="10"/>
      <name val="Arial"/>
    </font>
    <font>
      <sz val="10"/>
      <color indexed="9"/>
      <name val="Arial"/>
    </font>
    <font>
      <b/>
      <sz val="36"/>
      <color rgb="FF000000"/>
      <name val="Aptos Narrow"/>
      <family val="2"/>
      <scheme val="minor"/>
    </font>
    <font>
      <sz val="24"/>
      <color rgb="FF0000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28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1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3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6" fillId="0" borderId="0" applyNumberFormat="0" applyFill="0" applyBorder="0" applyAlignment="0" applyProtection="0"/>
    <xf numFmtId="0" fontId="37" fillId="9" borderId="18" applyNumberFormat="0" applyProtection="0">
      <alignment vertical="top" wrapText="1"/>
    </xf>
    <xf numFmtId="9" fontId="3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166" fontId="3" fillId="0" borderId="0" xfId="3" applyFont="1" applyAlignment="1">
      <alignment vertical="center"/>
    </xf>
    <xf numFmtId="0" fontId="3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165" fontId="3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6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1" fillId="0" borderId="8" xfId="2" applyFont="1" applyBorder="1" applyAlignment="1">
      <alignment horizontal="left" vertical="center"/>
    </xf>
    <xf numFmtId="165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166" fontId="9" fillId="0" borderId="0" xfId="3" applyFont="1" applyAlignment="1">
      <alignment vertical="center"/>
    </xf>
    <xf numFmtId="0" fontId="3" fillId="0" borderId="0" xfId="2" applyFont="1" applyAlignment="1">
      <alignment horizontal="left" vertical="center"/>
    </xf>
    <xf numFmtId="167" fontId="3" fillId="2" borderId="0" xfId="2" applyNumberFormat="1" applyFont="1" applyFill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168" fontId="4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horizontal="left" vertical="center"/>
    </xf>
    <xf numFmtId="164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168" fontId="15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vertical="center"/>
    </xf>
    <xf numFmtId="0" fontId="16" fillId="0" borderId="7" xfId="2" applyFont="1" applyBorder="1" applyAlignment="1">
      <alignment vertical="center"/>
    </xf>
    <xf numFmtId="0" fontId="16" fillId="0" borderId="0" xfId="2" applyFont="1" applyAlignment="1">
      <alignment vertical="center"/>
    </xf>
    <xf numFmtId="168" fontId="16" fillId="0" borderId="0" xfId="2" applyNumberFormat="1" applyFont="1" applyAlignment="1">
      <alignment horizontal="center" vertical="center"/>
    </xf>
    <xf numFmtId="168" fontId="16" fillId="0" borderId="0" xfId="2" applyNumberFormat="1" applyFont="1" applyAlignment="1">
      <alignment horizontal="left" vertical="center"/>
    </xf>
    <xf numFmtId="0" fontId="14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7" fillId="3" borderId="0" xfId="2" applyFont="1" applyFill="1" applyAlignment="1">
      <alignment horizontal="left" vertical="center"/>
    </xf>
    <xf numFmtId="0" fontId="18" fillId="0" borderId="0" xfId="2" applyFont="1" applyAlignment="1">
      <alignment vertical="center"/>
    </xf>
    <xf numFmtId="165" fontId="18" fillId="0" borderId="0" xfId="2" applyNumberFormat="1" applyFont="1" applyAlignment="1">
      <alignment horizontal="center" vertical="center"/>
    </xf>
    <xf numFmtId="0" fontId="9" fillId="0" borderId="9" xfId="2" applyFont="1" applyBorder="1" applyAlignment="1">
      <alignment vertical="center"/>
    </xf>
    <xf numFmtId="169" fontId="17" fillId="3" borderId="0" xfId="2" applyNumberFormat="1" applyFont="1" applyFill="1" applyAlignment="1">
      <alignment horizontal="center" vertical="center"/>
    </xf>
    <xf numFmtId="2" fontId="17" fillId="3" borderId="0" xfId="2" applyNumberFormat="1" applyFont="1" applyFill="1" applyAlignment="1">
      <alignment horizontal="left" vertical="center"/>
    </xf>
    <xf numFmtId="0" fontId="20" fillId="3" borderId="0" xfId="2" applyFont="1" applyFill="1" applyAlignment="1">
      <alignment horizontal="left" vertical="center"/>
    </xf>
    <xf numFmtId="169" fontId="21" fillId="5" borderId="9" xfId="2" applyNumberFormat="1" applyFont="1" applyFill="1" applyBorder="1" applyAlignment="1">
      <alignment horizontal="center" vertical="center" wrapText="1"/>
    </xf>
    <xf numFmtId="166" fontId="3" fillId="0" borderId="0" xfId="3" applyFont="1" applyBorder="1" applyAlignment="1">
      <alignment vertical="center"/>
    </xf>
    <xf numFmtId="170" fontId="9" fillId="0" borderId="0" xfId="5" applyFont="1" applyBorder="1" applyAlignment="1">
      <alignment vertical="center"/>
    </xf>
    <xf numFmtId="0" fontId="9" fillId="6" borderId="0" xfId="2" applyFont="1" applyFill="1" applyAlignment="1">
      <alignment vertical="center"/>
    </xf>
    <xf numFmtId="9" fontId="17" fillId="3" borderId="0" xfId="2" applyNumberFormat="1" applyFont="1" applyFill="1" applyAlignment="1">
      <alignment horizontal="left" vertical="center"/>
    </xf>
    <xf numFmtId="169" fontId="20" fillId="0" borderId="0" xfId="2" applyNumberFormat="1" applyFont="1" applyAlignment="1">
      <alignment horizontal="center" vertical="center"/>
    </xf>
    <xf numFmtId="1" fontId="23" fillId="0" borderId="9" xfId="2" applyNumberFormat="1" applyFont="1" applyBorder="1" applyAlignment="1">
      <alignment horizontal="center" vertical="center" wrapText="1"/>
    </xf>
    <xf numFmtId="168" fontId="24" fillId="0" borderId="9" xfId="2" applyNumberFormat="1" applyFont="1" applyBorder="1" applyAlignment="1">
      <alignment vertical="center" wrapText="1"/>
    </xf>
    <xf numFmtId="0" fontId="3" fillId="0" borderId="6" xfId="2" applyFont="1" applyBorder="1"/>
    <xf numFmtId="0" fontId="3" fillId="0" borderId="0" xfId="2" applyFont="1"/>
    <xf numFmtId="166" fontId="18" fillId="0" borderId="0" xfId="2" applyNumberFormat="1" applyFont="1"/>
    <xf numFmtId="0" fontId="18" fillId="0" borderId="0" xfId="2" applyFont="1"/>
    <xf numFmtId="166" fontId="22" fillId="0" borderId="9" xfId="3" applyFont="1" applyFill="1" applyBorder="1" applyAlignment="1">
      <alignment horizontal="left" vertical="center"/>
    </xf>
    <xf numFmtId="168" fontId="25" fillId="0" borderId="9" xfId="2" applyNumberFormat="1" applyFont="1" applyBorder="1" applyAlignment="1">
      <alignment vertical="center" wrapText="1"/>
    </xf>
    <xf numFmtId="166" fontId="3" fillId="0" borderId="0" xfId="3" applyFont="1"/>
    <xf numFmtId="0" fontId="14" fillId="0" borderId="7" xfId="2" applyFont="1" applyBorder="1"/>
    <xf numFmtId="0" fontId="14" fillId="0" borderId="0" xfId="2" applyFont="1"/>
    <xf numFmtId="0" fontId="26" fillId="0" borderId="16" xfId="2" applyFont="1" applyBorder="1" applyAlignment="1">
      <alignment horizontal="center"/>
    </xf>
    <xf numFmtId="168" fontId="6" fillId="0" borderId="0" xfId="2" applyNumberFormat="1" applyFont="1"/>
    <xf numFmtId="165" fontId="27" fillId="0" borderId="9" xfId="2" applyNumberFormat="1" applyFont="1" applyBorder="1" applyAlignment="1">
      <alignment horizontal="center"/>
    </xf>
    <xf numFmtId="168" fontId="28" fillId="0" borderId="9" xfId="2" applyNumberFormat="1" applyFont="1" applyBorder="1" applyAlignment="1">
      <alignment vertical="center" wrapText="1"/>
    </xf>
    <xf numFmtId="164" fontId="6" fillId="0" borderId="0" xfId="1" applyFont="1"/>
    <xf numFmtId="0" fontId="26" fillId="0" borderId="9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164" fontId="29" fillId="7" borderId="0" xfId="1" applyFont="1" applyFill="1" applyBorder="1" applyAlignment="1">
      <alignment horizontal="center" vertical="center" wrapText="1"/>
    </xf>
    <xf numFmtId="9" fontId="20" fillId="0" borderId="0" xfId="6" applyFont="1" applyFill="1" applyAlignment="1">
      <alignment vertical="center"/>
    </xf>
    <xf numFmtId="165" fontId="27" fillId="4" borderId="9" xfId="2" applyNumberFormat="1" applyFont="1" applyFill="1" applyBorder="1" applyAlignment="1">
      <alignment horizontal="center"/>
    </xf>
    <xf numFmtId="167" fontId="18" fillId="0" borderId="0" xfId="2" applyNumberFormat="1" applyFont="1"/>
    <xf numFmtId="0" fontId="14" fillId="0" borderId="8" xfId="2" applyFont="1" applyBorder="1"/>
    <xf numFmtId="167" fontId="3" fillId="0" borderId="0" xfId="2" applyNumberFormat="1" applyFont="1"/>
    <xf numFmtId="165" fontId="3" fillId="0" borderId="0" xfId="2" applyNumberFormat="1" applyFont="1" applyAlignment="1">
      <alignment horizontal="center"/>
    </xf>
    <xf numFmtId="168" fontId="3" fillId="0" borderId="0" xfId="2" applyNumberFormat="1" applyFont="1"/>
    <xf numFmtId="168" fontId="22" fillId="7" borderId="0" xfId="3" applyNumberFormat="1" applyFont="1" applyFill="1" applyBorder="1" applyAlignment="1">
      <alignment horizontal="center" vertical="center" wrapText="1"/>
    </xf>
    <xf numFmtId="166" fontId="3" fillId="0" borderId="0" xfId="3" applyFont="1" applyBorder="1"/>
    <xf numFmtId="0" fontId="14" fillId="0" borderId="7" xfId="2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 wrapText="1"/>
    </xf>
    <xf numFmtId="164" fontId="17" fillId="3" borderId="0" xfId="2" applyNumberFormat="1" applyFont="1" applyFill="1" applyAlignment="1">
      <alignment horizontal="center" vertical="center"/>
    </xf>
    <xf numFmtId="164" fontId="3" fillId="0" borderId="0" xfId="2" applyNumberFormat="1" applyFont="1"/>
    <xf numFmtId="0" fontId="14" fillId="0" borderId="7" xfId="2" applyFont="1" applyBorder="1" applyAlignment="1">
      <alignment vertical="center"/>
    </xf>
    <xf numFmtId="168" fontId="14" fillId="0" borderId="0" xfId="2" applyNumberFormat="1" applyFont="1" applyAlignment="1">
      <alignment vertical="center"/>
    </xf>
    <xf numFmtId="0" fontId="4" fillId="0" borderId="7" xfId="2" applyFont="1" applyBorder="1" applyAlignment="1">
      <alignment horizontal="left" vertical="center"/>
    </xf>
    <xf numFmtId="164" fontId="6" fillId="0" borderId="0" xfId="2" applyNumberFormat="1" applyFont="1"/>
    <xf numFmtId="0" fontId="31" fillId="0" borderId="0" xfId="2" applyFont="1"/>
    <xf numFmtId="0" fontId="30" fillId="0" borderId="11" xfId="2" applyFont="1" applyBorder="1" applyAlignment="1">
      <alignment vertical="center"/>
    </xf>
    <xf numFmtId="0" fontId="30" fillId="0" borderId="12" xfId="2" applyFont="1" applyBorder="1" applyAlignment="1">
      <alignment vertical="center"/>
    </xf>
    <xf numFmtId="166" fontId="3" fillId="0" borderId="12" xfId="3" applyFont="1" applyBorder="1"/>
    <xf numFmtId="0" fontId="14" fillId="0" borderId="12" xfId="2" applyFont="1" applyBorder="1"/>
    <xf numFmtId="0" fontId="14" fillId="0" borderId="17" xfId="2" applyFont="1" applyBorder="1"/>
    <xf numFmtId="0" fontId="32" fillId="0" borderId="0" xfId="2" applyFont="1"/>
    <xf numFmtId="168" fontId="29" fillId="7" borderId="0" xfId="3" applyNumberFormat="1" applyFont="1" applyFill="1" applyBorder="1" applyAlignment="1">
      <alignment horizontal="center" vertical="center" wrapText="1"/>
    </xf>
    <xf numFmtId="164" fontId="24" fillId="0" borderId="0" xfId="2" applyNumberFormat="1" applyFont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0" borderId="0" xfId="2" applyFont="1"/>
    <xf numFmtId="168" fontId="24" fillId="0" borderId="9" xfId="1" applyNumberFormat="1" applyFont="1" applyBorder="1" applyAlignment="1">
      <alignment vertical="center" wrapText="1"/>
    </xf>
    <xf numFmtId="168" fontId="26" fillId="0" borderId="9" xfId="1" applyNumberFormat="1" applyFont="1" applyFill="1" applyBorder="1"/>
    <xf numFmtId="0" fontId="0" fillId="0" borderId="9" xfId="0" applyBorder="1"/>
    <xf numFmtId="43" fontId="0" fillId="0" borderId="9" xfId="13" applyFont="1" applyBorder="1"/>
    <xf numFmtId="43" fontId="0" fillId="0" borderId="9" xfId="0" applyNumberFormat="1" applyBorder="1"/>
    <xf numFmtId="4" fontId="39" fillId="0" borderId="0" xfId="0" applyNumberFormat="1" applyFont="1" applyAlignment="1">
      <alignment horizontal="right"/>
    </xf>
    <xf numFmtId="4" fontId="40" fillId="0" borderId="0" xfId="0" applyNumberFormat="1" applyFont="1" applyAlignment="1">
      <alignment horizontal="left" wrapText="1"/>
    </xf>
    <xf numFmtId="0" fontId="41" fillId="10" borderId="0" xfId="0" applyFont="1" applyFill="1"/>
    <xf numFmtId="0" fontId="40" fillId="0" borderId="0" xfId="0" applyFont="1"/>
    <xf numFmtId="0" fontId="42" fillId="0" borderId="4" xfId="0" applyFont="1" applyBorder="1" applyAlignment="1">
      <alignment horizontal="left" vertical="center"/>
    </xf>
    <xf numFmtId="0" fontId="43" fillId="0" borderId="5" xfId="0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3" fillId="0" borderId="8" xfId="0" applyFont="1" applyBorder="1" applyAlignment="1">
      <alignment horizontal="left" vertical="center"/>
    </xf>
    <xf numFmtId="0" fontId="44" fillId="0" borderId="8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7" fillId="0" borderId="7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9" fillId="4" borderId="9" xfId="2" applyFont="1" applyFill="1" applyBorder="1" applyAlignment="1">
      <alignment horizontal="center" vertical="center" wrapText="1"/>
    </xf>
    <xf numFmtId="0" fontId="19" fillId="4" borderId="10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168" fontId="30" fillId="0" borderId="7" xfId="2" applyNumberFormat="1" applyFont="1" applyBorder="1" applyAlignment="1">
      <alignment horizontal="left" vertical="center"/>
    </xf>
    <xf numFmtId="168" fontId="30" fillId="0" borderId="0" xfId="2" applyNumberFormat="1" applyFont="1" applyAlignment="1">
      <alignment horizontal="left" vertical="center"/>
    </xf>
    <xf numFmtId="169" fontId="19" fillId="4" borderId="9" xfId="2" applyNumberFormat="1" applyFont="1" applyFill="1" applyBorder="1" applyAlignment="1">
      <alignment horizontal="center" vertical="center" wrapText="1"/>
    </xf>
    <xf numFmtId="169" fontId="19" fillId="4" borderId="10" xfId="2" applyNumberFormat="1" applyFont="1" applyFill="1" applyBorder="1" applyAlignment="1">
      <alignment horizontal="center" vertical="center" wrapText="1"/>
    </xf>
    <xf numFmtId="0" fontId="23" fillId="8" borderId="11" xfId="2" applyFont="1" applyFill="1" applyBorder="1" applyAlignment="1">
      <alignment horizontal="center" vertical="center" wrapText="1"/>
    </xf>
    <xf numFmtId="0" fontId="23" fillId="8" borderId="12" xfId="2" applyFont="1" applyFill="1" applyBorder="1" applyAlignment="1">
      <alignment horizontal="center" vertical="center" wrapText="1"/>
    </xf>
    <xf numFmtId="0" fontId="24" fillId="8" borderId="12" xfId="2" applyFont="1" applyFill="1" applyBorder="1" applyAlignment="1">
      <alignment horizontal="center" vertical="center" wrapText="1"/>
    </xf>
    <xf numFmtId="0" fontId="24" fillId="8" borderId="13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 wrapText="1"/>
    </xf>
    <xf numFmtId="0" fontId="14" fillId="4" borderId="15" xfId="2" applyFont="1" applyFill="1" applyBorder="1" applyAlignment="1">
      <alignment horizontal="center"/>
    </xf>
    <xf numFmtId="0" fontId="14" fillId="4" borderId="13" xfId="2" applyFont="1" applyFill="1" applyBorder="1" applyAlignment="1">
      <alignment horizontal="center"/>
    </xf>
    <xf numFmtId="0" fontId="14" fillId="4" borderId="14" xfId="2" applyFont="1" applyFill="1" applyBorder="1" applyAlignment="1">
      <alignment horizontal="center"/>
    </xf>
    <xf numFmtId="2" fontId="14" fillId="0" borderId="7" xfId="2" applyNumberFormat="1" applyFont="1" applyBorder="1" applyAlignment="1">
      <alignment horizontal="left" vertical="center" wrapText="1"/>
    </xf>
    <xf numFmtId="2" fontId="14" fillId="0" borderId="0" xfId="2" applyNumberFormat="1" applyFont="1" applyAlignment="1">
      <alignment horizontal="left" vertical="center" wrapText="1"/>
    </xf>
    <xf numFmtId="0" fontId="0" fillId="0" borderId="9" xfId="0" applyBorder="1" applyAlignment="1">
      <alignment horizontal="center"/>
    </xf>
  </cellXfs>
  <cellStyles count="14">
    <cellStyle name="Comma" xfId="13" builtinId="3"/>
    <cellStyle name="Comma 2 2" xfId="5" xr:uid="{EDB3D41A-3CDB-4BB7-9084-FEDB6AB08F51}"/>
    <cellStyle name="Currency" xfId="1" builtinId="4"/>
    <cellStyle name="Currency 2" xfId="3" xr:uid="{E4ED1213-8E4B-47B3-A8F4-ECBA89F68ECB}"/>
    <cellStyle name="Hyperlink 2" xfId="4" xr:uid="{9792C478-DC57-4E3F-905F-FB029D4897D2}"/>
    <cellStyle name="Hyperlink 3" xfId="8" xr:uid="{907640CE-7F11-40AE-9442-23893361A808}"/>
    <cellStyle name="Hyperlink 4" xfId="10" xr:uid="{C336BFED-5D33-49E1-8A2B-D4B6414E2A12}"/>
    <cellStyle name="Normal" xfId="0" builtinId="0"/>
    <cellStyle name="Normal 2" xfId="9" xr:uid="{22CDF82C-ADCB-4E46-AA80-3D3484BFE0AB}"/>
    <cellStyle name="Normal 4" xfId="2" xr:uid="{E913E1E3-B411-4E4A-B861-930568787309}"/>
    <cellStyle name="Normal 47" xfId="7" xr:uid="{1F45872A-C156-4409-8BCA-E262CC726574}"/>
    <cellStyle name="Percent 2" xfId="6" xr:uid="{87880830-5298-4FF8-A6CB-B481FCE7F3A0}"/>
    <cellStyle name="Percent 3" xfId="12" xr:uid="{B919FE6D-2A1F-4FB0-B55D-67309E946CC4}"/>
    <cellStyle name="Style 147" xfId="11" xr:uid="{2FDAABF6-E4F1-4369-9CD5-A46629789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6A802263-1EC3-4AE9-9EEB-362481E3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27940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106236</xdr:colOff>
      <xdr:row>11</xdr:row>
      <xdr:rowOff>155879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DD375B-6934-40A8-8EA5-1496D3B1D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69436" cy="21815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3B77A3C9-F567-4AE3-ACD4-3F8C4987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49" y="18415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lphinprofessionalservi322-my.sharepoint.com/Users/Dotto/AppData/Local/Microsoft/Windows/Temporary%20Internet%20Files/Content.Outlook/R4SOSIV6/HPServ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uffyb2\Desktop\Q1%20'11\Services%20Pricing%20Project\Nordstrom%20Compliance%20Researc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olphinprofessionalservi322-my.sharepoint.com/personal/ematondo_ke_dpsl_africa/Documents/Desktop/Westcon_EMEA_Template_Dolphin%20Proffessional%20Services%20Limited_LoftyCorban%20Investments_Quote#_2026_04_25047378_en.xlsx" TargetMode="External"/><Relationship Id="rId2" Type="http://schemas.microsoft.com/office/2019/04/relationships/externalLinkLongPath" Target="https://dolphinprofessionalservi322-my.sharepoint.com/personal/ematondo_ke_dpsl_africa/Documents/Desktop/Westcon_EMEA_Template_Dolphin%20Proffessional%20Services%20Limited_LoftyCorban%20Investments_Quote#_2026_04_25047378_en.xlsx?23B116E4" TargetMode="External"/><Relationship Id="rId1" Type="http://schemas.openxmlformats.org/officeDocument/2006/relationships/externalLinkPath" Target="file:///\\23B116E4\Westcon_EMEA_Template_Dolphin%20Proffessional%20Services%20Limited_LoftyCorban%20Investments_Quote%23_2026_04_25047378_e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nm\AppData\Local\Temp\e7610ab1-8c6a-49ed-aba2-c92a0205c52a_PIPEDRIVE%20WORKINGS%20QUOTES.zip.52a\EXIM%20BANK__NETAPP%20QUOTE.xlsm" TargetMode="External"/><Relationship Id="rId1" Type="http://schemas.openxmlformats.org/officeDocument/2006/relationships/externalLinkPath" Target="https://dolphinprofessionalservi322-my.sharepoint.com/Users/evanm/AppData/Local/Temp/e7610ab1-8c6a-49ed-aba2-c92a0205c52a_PIPEDRIVE%20WORKINGS%20QUOTES.zip.52a/EXIM%20BANK__NETAPP%20QUOTE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Quotes\2026\March\Standard\Quote%20-%20The%20Standard%20Media%20Group.xlsx" TargetMode="External"/><Relationship Id="rId1" Type="http://schemas.openxmlformats.org/officeDocument/2006/relationships/externalLinkPath" Target="Quote%20-%20The%20Standard%20Media%20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Gui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Usage v Entitled"/>
      <sheetName val="For Prez"/>
      <sheetName val="Timeline"/>
      <sheetName val="Summary Tab"/>
      <sheetName val="Sheet2"/>
      <sheetName val="Nordstrom SYR Report"/>
      <sheetName val="Nordstrom Summary"/>
      <sheetName val="Quote 2 - VMAX Purchase"/>
      <sheetName val="Sheet1"/>
      <sheetName val="VMAX Upgrade"/>
      <sheetName val="Sheet1 (2)"/>
      <sheetName val="Quote 1 - DMX Upgrade"/>
      <sheetName val="DMX Upgrade"/>
      <sheetName val="DMX Upgrade #2"/>
      <sheetName val="Nordstrom Data"/>
      <sheetName val="Usage_v_Entitled"/>
      <sheetName val="For_Prez"/>
      <sheetName val="Summary_Tab"/>
      <sheetName val="Nordstrom_SYR_Report"/>
      <sheetName val="Nordstrom_Summary"/>
      <sheetName val="Quote_2_-_VMAX_Purchase"/>
      <sheetName val="VMAX_Upgrade"/>
      <sheetName val="Sheet1_(2)"/>
      <sheetName val="Quote_1_-_DMX_Upgrade"/>
      <sheetName val="DMX_Upgrade"/>
      <sheetName val="DMX_Upgrade_#2"/>
      <sheetName val="Nordstrom_Data"/>
      <sheetName val="Usage_v_Entitled1"/>
      <sheetName val="For_Prez1"/>
      <sheetName val="Summary_Tab1"/>
      <sheetName val="Nordstrom_SYR_Report1"/>
      <sheetName val="Nordstrom_Summary1"/>
      <sheetName val="Quote_2_-_VMAX_Purchase1"/>
      <sheetName val="VMAX_Upgrade1"/>
      <sheetName val="Sheet1_(2)1"/>
      <sheetName val="Quote_1_-_DMX_Upgrade1"/>
      <sheetName val="DMX_Upgrade1"/>
      <sheetName val="DMX_Upgrade_#21"/>
      <sheetName val="Nordstrom_Data1"/>
      <sheetName val="Usage_v_Entitled2"/>
      <sheetName val="For_Prez2"/>
      <sheetName val="Summary_Tab2"/>
      <sheetName val="Nordstrom_SYR_Report2"/>
      <sheetName val="Nordstrom_Summary2"/>
      <sheetName val="Quote_2_-_VMAX_Purchase2"/>
      <sheetName val="VMAX_Upgrade2"/>
      <sheetName val="Sheet1_(2)2"/>
      <sheetName val="Quote_1_-_DMX_Upgrade2"/>
      <sheetName val="DMX_Upgrade2"/>
      <sheetName val="DMX_Upgrade_#22"/>
      <sheetName val="Nordstrom_Data2"/>
      <sheetName val="Usage_v_Entitled3"/>
      <sheetName val="For_Prez3"/>
      <sheetName val="Summary_Tab3"/>
      <sheetName val="Nordstrom_SYR_Report3"/>
      <sheetName val="Nordstrom_Summary3"/>
      <sheetName val="Quote_2_-_VMAX_Purchase3"/>
      <sheetName val="VMAX_Upgrade3"/>
      <sheetName val="Sheet1_(2)3"/>
      <sheetName val="Quote_1_-_DMX_Upgrade3"/>
      <sheetName val="DMX_Upgrade3"/>
      <sheetName val="DMX_Upgrade_#23"/>
      <sheetName val="Nordstrom_Data3"/>
      <sheetName val="Usage_v_Entitled4"/>
      <sheetName val="For_Prez4"/>
      <sheetName val="Summary_Tab4"/>
      <sheetName val="Nordstrom_SYR_Report4"/>
      <sheetName val="Nordstrom_Summary4"/>
      <sheetName val="Quote_2_-_VMAX_Purchase4"/>
      <sheetName val="VMAX_Upgrade4"/>
      <sheetName val="Sheet1_(2)4"/>
      <sheetName val="Quote_1_-_DMX_Upgrade4"/>
      <sheetName val="DMX_Upgrade4"/>
      <sheetName val="DMX_Upgrade_#24"/>
      <sheetName val="Nordstrom_Data4"/>
      <sheetName val="Template"/>
      <sheetName val="Usage_v_Entitled5"/>
      <sheetName val="For_Prez5"/>
      <sheetName val="Summary_Tab5"/>
      <sheetName val="Nordstrom_SYR_Report5"/>
      <sheetName val="Nordstrom_Summary5"/>
      <sheetName val="Quote_2_-_VMAX_Purchase5"/>
      <sheetName val="VMAX_Upgrade5"/>
      <sheetName val="Sheet1_(2)5"/>
      <sheetName val="Quote_1_-_DMX_Upgrade5"/>
      <sheetName val="DMX_Upgrade5"/>
      <sheetName val="DMX_Upgrade_#25"/>
      <sheetName val="Nordstrom_Data5"/>
      <sheetName val="SKU Description"/>
      <sheetName val="Zone"/>
      <sheetName val="CE labor rate"/>
      <sheetName val="AU entitlement"/>
      <sheetName val="Usage_v_Entitled6"/>
      <sheetName val="For_Prez6"/>
      <sheetName val="Summary_Tab6"/>
      <sheetName val="Nordstrom_SYR_Report6"/>
      <sheetName val="Nordstrom_Summary6"/>
      <sheetName val="Quote_2_-_VMAX_Purchase6"/>
      <sheetName val="VMAX_Upgrade6"/>
      <sheetName val="Sheet1_(2)6"/>
      <sheetName val="Quote_1_-_DMX_Upgrade6"/>
      <sheetName val="DMX_Upgrade6"/>
      <sheetName val="DMX_Upgrade_#26"/>
      <sheetName val="Nordstrom_Data6"/>
      <sheetName val="SKU_Description"/>
      <sheetName val="CE_labor_rate"/>
      <sheetName val="AU_entitlement"/>
      <sheetName val="Config"/>
      <sheetName val="Support"/>
      <sheetName val="Usage_v_Entitled7"/>
      <sheetName val="For_Prez7"/>
      <sheetName val="Summary_Tab7"/>
      <sheetName val="Nordstrom_SYR_Report7"/>
      <sheetName val="Nordstrom_Summary7"/>
      <sheetName val="Quote_2_-_VMAX_Purchase7"/>
      <sheetName val="VMAX_Upgrade7"/>
      <sheetName val="Sheet1_(2)7"/>
      <sheetName val="Quote_1_-_DMX_Upgrade7"/>
      <sheetName val="DMX_Upgrade7"/>
      <sheetName val="DMX_Upgrade_#27"/>
      <sheetName val="Nordstrom_Data7"/>
      <sheetName val="SKU_Description1"/>
      <sheetName val="CE_labor_rate1"/>
      <sheetName val="AU_entitlement1"/>
      <sheetName val="Usage_v_Entitled8"/>
      <sheetName val="For_Prez8"/>
      <sheetName val="Summary_Tab8"/>
      <sheetName val="Nordstrom_SYR_Report8"/>
      <sheetName val="Nordstrom_Summary8"/>
      <sheetName val="Quote_2_-_VMAX_Purchase8"/>
      <sheetName val="VMAX_Upgrade8"/>
      <sheetName val="Sheet1_(2)8"/>
      <sheetName val="Quote_1_-_DMX_Upgrade8"/>
      <sheetName val="DMX_Upgrade8"/>
      <sheetName val="DMX_Upgrade_#28"/>
      <sheetName val="Nordstrom_Data8"/>
      <sheetName val="SKU_Description2"/>
      <sheetName val="CE_labor_rate2"/>
      <sheetName val="AU_entitlement2"/>
      <sheetName val="Nordstrom Compliance Research"/>
      <sheetName val="Smart VMAX_XIO_Unity Switches"/>
      <sheetName val="Usage_v_Entitled9"/>
      <sheetName val="For_Prez9"/>
      <sheetName val="Summary_Tab9"/>
      <sheetName val="Nordstrom_SYR_Report9"/>
      <sheetName val="Nordstrom_Summary9"/>
      <sheetName val="Quote_2_-_VMAX_Purchase9"/>
      <sheetName val="VMAX_Upgrade9"/>
      <sheetName val="Sheet1_(2)9"/>
      <sheetName val="Quote_1_-_DMX_Upgrade9"/>
      <sheetName val="DMX_Upgrade9"/>
      <sheetName val="DMX_Upgrade_#29"/>
      <sheetName val="Nordstrom_Data9"/>
      <sheetName val="SKU_Description3"/>
      <sheetName val="CE_labor_rate3"/>
      <sheetName val="AU_entitlement3"/>
      <sheetName val="Smart_VMAX_XIO_Unity_Switches"/>
      <sheetName val="Nordstrom_Compliance_Research"/>
      <sheetName val="Usage_v_Entitled10"/>
      <sheetName val="For_Prez10"/>
      <sheetName val="Summary_Tab10"/>
      <sheetName val="Nordstrom_SYR_Report10"/>
      <sheetName val="Nordstrom_Summary10"/>
      <sheetName val="Quote_2_-_VMAX_Purchase10"/>
      <sheetName val="VMAX_Upgrade10"/>
      <sheetName val="Sheet1_(2)10"/>
      <sheetName val="Quote_1_-_DMX_Upgrade10"/>
      <sheetName val="DMX_Upgrade10"/>
      <sheetName val="DMX_Upgrade_#210"/>
      <sheetName val="Nordstrom_Data10"/>
      <sheetName val="SKU_Description4"/>
      <sheetName val="CE_labor_rate4"/>
      <sheetName val="AU_entitlement4"/>
      <sheetName val="Smart_VMAX_XIO_Unity_Switches1"/>
      <sheetName val="Nordstrom_Compliance_Research1"/>
      <sheetName val="Usage_v_Entitled11"/>
      <sheetName val="For_Prez11"/>
      <sheetName val="Summary_Tab11"/>
      <sheetName val="Nordstrom_SYR_Report11"/>
      <sheetName val="Nordstrom_Summary11"/>
      <sheetName val="Quote_2_-_VMAX_Purchase11"/>
      <sheetName val="VMAX_Upgrade11"/>
      <sheetName val="Sheet1_(2)11"/>
      <sheetName val="Quote_1_-_DMX_Upgrade11"/>
      <sheetName val="DMX_Upgrade11"/>
      <sheetName val="DMX_Upgrade_#211"/>
      <sheetName val="Nordstrom_Data11"/>
      <sheetName val="SKU_Description5"/>
      <sheetName val="CE_labor_rate5"/>
      <sheetName val="AU_entitlement5"/>
      <sheetName val="Smart_VMAX_XIO_Unity_Switches2"/>
      <sheetName val="Nordstrom_Compliance_Research2"/>
      <sheetName val="Usage_v_Entitled12"/>
      <sheetName val="For_Prez12"/>
      <sheetName val="Summary_Tab12"/>
      <sheetName val="Nordstrom_SYR_Report12"/>
      <sheetName val="Nordstrom_Summary12"/>
      <sheetName val="Quote_2_-_VMAX_Purchase12"/>
      <sheetName val="VMAX_Upgrade12"/>
      <sheetName val="Sheet1_(2)12"/>
      <sheetName val="Quote_1_-_DMX_Upgrade12"/>
      <sheetName val="DMX_Upgrade12"/>
      <sheetName val="DMX_Upgrade_#212"/>
      <sheetName val="Nordstrom_Data12"/>
      <sheetName val="SKU_Description6"/>
      <sheetName val="CE_labor_rate6"/>
      <sheetName val="AU_entitlement6"/>
      <sheetName val="Usage_v_Entitled14"/>
      <sheetName val="For_Prez14"/>
      <sheetName val="Summary_Tab14"/>
      <sheetName val="Nordstrom_SYR_Report14"/>
      <sheetName val="Nordstrom_Summary14"/>
      <sheetName val="Quote_2_-_VMAX_Purchase14"/>
      <sheetName val="VMAX_Upgrade14"/>
      <sheetName val="Sheet1_(2)14"/>
      <sheetName val="Quote_1_-_DMX_Upgrade14"/>
      <sheetName val="DMX_Upgrade14"/>
      <sheetName val="DMX_Upgrade_#214"/>
      <sheetName val="Nordstrom_Data14"/>
      <sheetName val="SKU_Description8"/>
      <sheetName val="CE_labor_rate8"/>
      <sheetName val="AU_entitlement8"/>
      <sheetName val="Smart_VMAX_XIO_Unity_Switches4"/>
      <sheetName val="Nordstrom_Compliance_Research4"/>
      <sheetName val="Usage_v_Entitled13"/>
      <sheetName val="For_Prez13"/>
      <sheetName val="Summary_Tab13"/>
      <sheetName val="Nordstrom_SYR_Report13"/>
      <sheetName val="Nordstrom_Summary13"/>
      <sheetName val="Quote_2_-_VMAX_Purchase13"/>
      <sheetName val="VMAX_Upgrade13"/>
      <sheetName val="Sheet1_(2)13"/>
      <sheetName val="Quote_1_-_DMX_Upgrade13"/>
      <sheetName val="DMX_Upgrade13"/>
      <sheetName val="DMX_Upgrade_#213"/>
      <sheetName val="Nordstrom_Data13"/>
      <sheetName val="SKU_Description7"/>
      <sheetName val="CE_labor_rate7"/>
      <sheetName val="AU_entitlement7"/>
      <sheetName val="Smart_VMAX_XIO_Unity_Switches3"/>
      <sheetName val="Nordstrom_Compliance_Research3"/>
      <sheetName val="Usage_v_Entitled15"/>
      <sheetName val="For_Prez15"/>
      <sheetName val="Summary_Tab15"/>
      <sheetName val="Nordstrom_SYR_Report15"/>
      <sheetName val="Nordstrom_Summary15"/>
      <sheetName val="Quote_2_-_VMAX_Purchase15"/>
      <sheetName val="VMAX_Upgrade15"/>
      <sheetName val="Sheet1_(2)15"/>
      <sheetName val="Quote_1_-_DMX_Upgrade15"/>
      <sheetName val="DMX_Upgrade15"/>
      <sheetName val="DMX_Upgrade_#215"/>
      <sheetName val="Nordstrom_Data15"/>
      <sheetName val="SKU_Description9"/>
      <sheetName val="CE_labor_rate9"/>
      <sheetName val="AU_entitlement9"/>
      <sheetName val="Smart_VMAX_XIO_Unity_Switches5"/>
      <sheetName val="Nordstrom_Compliance_Research5"/>
      <sheetName val="Usage_v_Entitled17"/>
      <sheetName val="For_Prez17"/>
      <sheetName val="Summary_Tab17"/>
      <sheetName val="Nordstrom_SYR_Report17"/>
      <sheetName val="Nordstrom_Summary17"/>
      <sheetName val="Quote_2_-_VMAX_Purchase17"/>
      <sheetName val="VMAX_Upgrade17"/>
      <sheetName val="Sheet1_(2)17"/>
      <sheetName val="Quote_1_-_DMX_Upgrade17"/>
      <sheetName val="DMX_Upgrade17"/>
      <sheetName val="DMX_Upgrade_#217"/>
      <sheetName val="Nordstrom_Data17"/>
      <sheetName val="SKU_Description11"/>
      <sheetName val="CE_labor_rate11"/>
      <sheetName val="AU_entitlement11"/>
      <sheetName val="Smart_VMAX_XIO_Unity_Switches7"/>
      <sheetName val="Nordstrom_Compliance_Research7"/>
      <sheetName val="Usage_v_Entitled16"/>
      <sheetName val="For_Prez16"/>
      <sheetName val="Summary_Tab16"/>
      <sheetName val="Nordstrom_SYR_Report16"/>
      <sheetName val="Nordstrom_Summary16"/>
      <sheetName val="Quote_2_-_VMAX_Purchase16"/>
      <sheetName val="VMAX_Upgrade16"/>
      <sheetName val="Sheet1_(2)16"/>
      <sheetName val="Quote_1_-_DMX_Upgrade16"/>
      <sheetName val="DMX_Upgrade16"/>
      <sheetName val="DMX_Upgrade_#216"/>
      <sheetName val="Nordstrom_Data16"/>
      <sheetName val="SKU_Description10"/>
      <sheetName val="CE_labor_rate10"/>
      <sheetName val="AU_entitlement10"/>
      <sheetName val="Smart_VMAX_XIO_Unity_Switches6"/>
      <sheetName val="Nordstrom_Compliance_Research6"/>
      <sheetName val="Usage_v_Entitled18"/>
      <sheetName val="For_Prez18"/>
      <sheetName val="Summary_Tab18"/>
      <sheetName val="Nordstrom_SYR_Report18"/>
      <sheetName val="Nordstrom_Summary18"/>
      <sheetName val="Quote_2_-_VMAX_Purchase18"/>
      <sheetName val="VMAX_Upgrade18"/>
      <sheetName val="Sheet1_(2)18"/>
      <sheetName val="Quote_1_-_DMX_Upgrade18"/>
      <sheetName val="DMX_Upgrade18"/>
      <sheetName val="DMX_Upgrade_#218"/>
      <sheetName val="Nordstrom_Data18"/>
      <sheetName val="SKU_Description12"/>
      <sheetName val="CE_labor_rate12"/>
      <sheetName val="AU_entitlement12"/>
      <sheetName val="Nordstrom_Compliance_Research8"/>
      <sheetName val="Smart_VMAX_XIO_Unity_Switches8"/>
      <sheetName val="Usage_v_Entitled19"/>
      <sheetName val="For_Prez19"/>
      <sheetName val="Summary_Tab19"/>
      <sheetName val="Nordstrom_SYR_Report19"/>
      <sheetName val="Nordstrom_Summary19"/>
      <sheetName val="Quote_2_-_VMAX_Purchase19"/>
      <sheetName val="VMAX_Upgrade19"/>
      <sheetName val="Sheet1_(2)19"/>
      <sheetName val="Quote_1_-_DMX_Upgrade19"/>
      <sheetName val="DMX_Upgrade19"/>
      <sheetName val="DMX_Upgrade_#219"/>
      <sheetName val="Nordstrom_Data19"/>
      <sheetName val="SKU_Description13"/>
      <sheetName val="CE_labor_rate13"/>
      <sheetName val="AU_entitlement13"/>
      <sheetName val="Nordstrom_Compliance_Research9"/>
      <sheetName val="Smart_VMAX_XIO_Unity_Switches9"/>
      <sheetName val="Usage_v_Entitled20"/>
      <sheetName val="For_Prez20"/>
      <sheetName val="Summary_Tab20"/>
      <sheetName val="Nordstrom_SYR_Report20"/>
      <sheetName val="Nordstrom_Summary20"/>
      <sheetName val="Quote_2_-_VMAX_Purchase20"/>
      <sheetName val="VMAX_Upgrade20"/>
      <sheetName val="Sheet1_(2)20"/>
      <sheetName val="Quote_1_-_DMX_Upgrade20"/>
      <sheetName val="DMX_Upgrade20"/>
      <sheetName val="DMX_Upgrade_#220"/>
      <sheetName val="Nordstrom_Data20"/>
      <sheetName val="SKU_Description14"/>
      <sheetName val="CE_labor_rate14"/>
      <sheetName val="AU_entitlement14"/>
      <sheetName val="Nordstrom_Compliance_Research10"/>
      <sheetName val="Smart_VMAX_XIO_Unity_Switches10"/>
      <sheetName val="Usage_v_Entitled21"/>
      <sheetName val="For_Prez21"/>
      <sheetName val="Summary_Tab21"/>
      <sheetName val="Nordstrom_SYR_Report21"/>
      <sheetName val="Nordstrom_Summary21"/>
      <sheetName val="Quote_2_-_VMAX_Purchase21"/>
      <sheetName val="VMAX_Upgrade21"/>
      <sheetName val="Sheet1_(2)21"/>
      <sheetName val="Quote_1_-_DMX_Upgrade21"/>
      <sheetName val="DMX_Upgrade21"/>
      <sheetName val="DMX_Upgrade_#221"/>
      <sheetName val="Nordstrom_Data21"/>
      <sheetName val="SKU_Description15"/>
      <sheetName val="CE_labor_rate15"/>
      <sheetName val="AU_entitlement15"/>
      <sheetName val="Smart_VMAX_XIO_Unity_Switches11"/>
      <sheetName val="Nordstrom_Compliance_Research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 (2)"/>
      <sheetName val="Sheet1"/>
      <sheetName val="Services"/>
    </sheetNames>
    <definedNames>
      <definedName name="GoAssetChart" refersTo="#REF!" sheetId="0"/>
      <definedName name="GoBack" refersTo="#REF!" sheetId="0"/>
      <definedName name="GoBalanceSheet" refersTo="#REF!" sheetId="0"/>
      <definedName name="GoCashFlow" refersTo="#REF!" sheetId="0"/>
      <definedName name="GoData" refersTo="#REF!" sheetId="0"/>
      <definedName name="GoIncomeChart" refersTo="#REF!" sheetId="0"/>
      <definedName name="Nada" refersTo="#REF!" sheetId="0"/>
    </defined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 (TZS)"/>
      <sheetName val="PFI"/>
      <sheetName val="DPPP"/>
    </sheetNames>
    <sheetDataSet>
      <sheetData sheetId="0"/>
      <sheetData sheetId="1">
        <row r="5">
          <cell r="J5" t="str">
            <v>Hiperdist UK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 (3)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930C-4815-4214-B0BA-055A34987A56}">
  <sheetPr>
    <pageSetUpPr fitToPage="1"/>
  </sheetPr>
  <dimension ref="A1:W37"/>
  <sheetViews>
    <sheetView tabSelected="1" view="pageBreakPreview" topLeftCell="B15" zoomScale="25" zoomScaleNormal="100" zoomScaleSheetLayoutView="25" zoomScalePageLayoutView="25" workbookViewId="0">
      <selection activeCell="M17" sqref="M17"/>
    </sheetView>
  </sheetViews>
  <sheetFormatPr defaultColWidth="9.1796875" defaultRowHeight="31" x14ac:dyDescent="0.7"/>
  <cols>
    <col min="1" max="1" width="0" style="55" hidden="1" customWidth="1"/>
    <col min="2" max="3" width="0.81640625" style="55" customWidth="1"/>
    <col min="4" max="4" width="15" style="55" customWidth="1"/>
    <col min="5" max="5" width="61.1796875" style="55" bestFit="1" customWidth="1"/>
    <col min="6" max="6" width="157.1796875" style="55" customWidth="1"/>
    <col min="7" max="7" width="20.453125" style="55" customWidth="1"/>
    <col min="8" max="8" width="59" style="95" customWidth="1"/>
    <col min="9" max="9" width="68.6328125" style="55" customWidth="1"/>
    <col min="10" max="11" width="9.1796875" style="55" customWidth="1"/>
    <col min="12" max="12" width="59.36328125" style="55" bestFit="1" customWidth="1"/>
    <col min="13" max="13" width="59.36328125" style="55" customWidth="1"/>
    <col min="14" max="14" width="35.453125" style="55" hidden="1" customWidth="1"/>
    <col min="15" max="15" width="53.08984375" style="76" customWidth="1"/>
    <col min="16" max="16" width="52.453125" style="55" customWidth="1"/>
    <col min="17" max="17" width="55.6328125" style="60" customWidth="1"/>
    <col min="18" max="18" width="47.1796875" style="55" customWidth="1"/>
    <col min="19" max="19" width="18.453125" style="55" bestFit="1" customWidth="1"/>
    <col min="20" max="20" width="43.1796875" style="55" bestFit="1" customWidth="1"/>
    <col min="21" max="21" width="39.81640625" style="55" bestFit="1" customWidth="1"/>
    <col min="22" max="22" width="36.81640625" style="55" bestFit="1" customWidth="1"/>
    <col min="23" max="23" width="50.36328125" style="55" bestFit="1" customWidth="1"/>
    <col min="24" max="24" width="34.453125" style="55" bestFit="1" customWidth="1"/>
    <col min="25" max="16384" width="9.1796875" style="55"/>
  </cols>
  <sheetData>
    <row r="1" spans="1:23" s="5" customFormat="1" ht="40" customHeight="1" x14ac:dyDescent="0.35">
      <c r="A1" s="1"/>
      <c r="B1" s="2"/>
      <c r="C1" s="2"/>
      <c r="D1" s="3"/>
      <c r="E1" s="4"/>
      <c r="F1" s="4"/>
      <c r="G1" s="4"/>
      <c r="H1" s="111" t="s">
        <v>125</v>
      </c>
      <c r="I1" s="112"/>
      <c r="O1" s="6"/>
      <c r="Q1" s="7"/>
    </row>
    <row r="2" spans="1:23" s="5" customFormat="1" ht="40" customHeight="1" x14ac:dyDescent="0.35">
      <c r="A2" s="8"/>
      <c r="D2" s="9"/>
      <c r="E2" s="10"/>
      <c r="F2" s="10"/>
      <c r="G2" s="10"/>
      <c r="H2" s="113" t="s">
        <v>126</v>
      </c>
      <c r="I2" s="114"/>
      <c r="O2" s="6"/>
      <c r="Q2" s="7"/>
    </row>
    <row r="3" spans="1:23" s="5" customFormat="1" ht="40" customHeight="1" x14ac:dyDescent="0.35">
      <c r="A3" s="8"/>
      <c r="D3" s="9"/>
      <c r="E3" s="10"/>
      <c r="F3" s="10"/>
      <c r="G3" s="10"/>
      <c r="H3" s="113" t="s">
        <v>127</v>
      </c>
      <c r="I3" s="115"/>
      <c r="O3" s="12"/>
      <c r="P3" s="13"/>
      <c r="Q3" s="7"/>
    </row>
    <row r="4" spans="1:23" s="5" customFormat="1" ht="40" customHeight="1" x14ac:dyDescent="0.35">
      <c r="A4" s="8"/>
      <c r="D4" s="9"/>
      <c r="E4" s="10"/>
      <c r="F4" s="10"/>
      <c r="G4" s="10"/>
      <c r="H4" s="113" t="s">
        <v>128</v>
      </c>
      <c r="I4" s="115"/>
      <c r="O4" s="12"/>
      <c r="P4" s="13"/>
      <c r="Q4" s="7"/>
    </row>
    <row r="5" spans="1:23" s="5" customFormat="1" ht="40" customHeight="1" x14ac:dyDescent="0.35">
      <c r="A5" s="8"/>
      <c r="D5" s="9"/>
      <c r="E5" s="10"/>
      <c r="F5" s="10"/>
      <c r="G5" s="10"/>
      <c r="H5" s="113" t="s">
        <v>129</v>
      </c>
      <c r="I5" s="115"/>
      <c r="O5" s="12"/>
      <c r="P5" s="13"/>
      <c r="Q5" s="7"/>
    </row>
    <row r="6" spans="1:23" s="5" customFormat="1" ht="40" customHeight="1" x14ac:dyDescent="0.35">
      <c r="A6" s="8"/>
      <c r="D6" s="117"/>
      <c r="E6" s="118"/>
      <c r="F6" s="118"/>
      <c r="G6" s="14"/>
      <c r="H6" s="113" t="s">
        <v>130</v>
      </c>
      <c r="I6" s="115"/>
      <c r="O6" s="12"/>
      <c r="P6" s="13"/>
      <c r="Q6" s="7"/>
    </row>
    <row r="7" spans="1:23" s="5" customFormat="1" ht="47.5" customHeight="1" x14ac:dyDescent="0.35">
      <c r="A7" s="8"/>
      <c r="D7" s="9"/>
      <c r="E7" s="10"/>
      <c r="H7" s="113" t="s">
        <v>131</v>
      </c>
      <c r="I7" s="115"/>
      <c r="O7" s="12"/>
      <c r="P7" s="13"/>
      <c r="Q7" s="7"/>
    </row>
    <row r="8" spans="1:23" s="16" customFormat="1" ht="39.75" customHeight="1" x14ac:dyDescent="0.35">
      <c r="A8" s="15"/>
      <c r="D8" s="17"/>
      <c r="E8" s="18"/>
      <c r="F8" s="18"/>
      <c r="G8" s="18"/>
      <c r="H8" s="113"/>
      <c r="I8" s="116"/>
      <c r="O8" s="20"/>
      <c r="P8" s="21"/>
      <c r="Q8" s="22"/>
    </row>
    <row r="9" spans="1:23" s="16" customFormat="1" ht="40" customHeight="1" x14ac:dyDescent="0.35">
      <c r="A9" s="15"/>
      <c r="D9" s="17"/>
      <c r="E9" s="18"/>
      <c r="F9" s="18"/>
      <c r="G9" s="18"/>
      <c r="H9" s="113" t="s">
        <v>24</v>
      </c>
      <c r="I9" s="116"/>
      <c r="O9" s="20"/>
      <c r="P9" s="21"/>
      <c r="Q9" s="22"/>
    </row>
    <row r="10" spans="1:23" s="16" customFormat="1" ht="39.5" customHeight="1" x14ac:dyDescent="0.35">
      <c r="A10" s="15"/>
      <c r="D10" s="17"/>
      <c r="E10" s="18"/>
      <c r="F10" s="119" t="s">
        <v>0</v>
      </c>
      <c r="G10" s="119"/>
      <c r="H10" s="11"/>
      <c r="I10" s="19"/>
      <c r="L10" s="23"/>
      <c r="M10" s="7"/>
      <c r="N10" s="5"/>
      <c r="O10" s="12"/>
      <c r="P10" s="24"/>
      <c r="Q10" s="7"/>
    </row>
    <row r="11" spans="1:23" s="16" customFormat="1" ht="79.5" customHeight="1" x14ac:dyDescent="0.35">
      <c r="A11" s="15"/>
      <c r="D11" s="122" t="s">
        <v>23</v>
      </c>
      <c r="E11" s="123"/>
      <c r="F11" s="123"/>
      <c r="G11" s="27"/>
      <c r="H11" s="11" t="s">
        <v>123</v>
      </c>
      <c r="I11" s="28"/>
      <c r="L11" s="29"/>
      <c r="M11" s="7"/>
      <c r="N11" s="5"/>
      <c r="O11" s="6"/>
      <c r="P11" s="30"/>
      <c r="Q11" s="7" t="s">
        <v>1</v>
      </c>
    </row>
    <row r="12" spans="1:23" s="16" customFormat="1" ht="40" customHeight="1" x14ac:dyDescent="0.35">
      <c r="A12" s="15"/>
      <c r="D12" s="25" t="s">
        <v>124</v>
      </c>
      <c r="E12" s="26"/>
      <c r="F12" s="31"/>
      <c r="G12" s="31"/>
      <c r="H12" s="27"/>
      <c r="I12" s="32"/>
      <c r="L12" s="5"/>
      <c r="M12" s="5"/>
      <c r="N12" s="5"/>
      <c r="O12" s="6"/>
      <c r="P12" s="30"/>
      <c r="Q12" s="7"/>
      <c r="T12" s="16" t="s">
        <v>1</v>
      </c>
    </row>
    <row r="13" spans="1:23" s="16" customFormat="1" ht="36" customHeight="1" x14ac:dyDescent="0.35">
      <c r="A13" s="15"/>
      <c r="D13" s="33"/>
      <c r="E13" s="34"/>
      <c r="F13" s="35"/>
      <c r="G13" s="36"/>
      <c r="H13" s="37"/>
      <c r="I13" s="32"/>
      <c r="L13" s="38" t="s">
        <v>2</v>
      </c>
      <c r="M13" s="39">
        <v>1</v>
      </c>
      <c r="N13" s="40"/>
      <c r="O13" s="41"/>
      <c r="P13" s="40"/>
      <c r="Q13" s="7"/>
    </row>
    <row r="14" spans="1:23" s="16" customFormat="1" ht="28" customHeight="1" x14ac:dyDescent="0.35">
      <c r="A14" s="42"/>
      <c r="B14" s="42"/>
      <c r="C14" s="42"/>
      <c r="D14" s="120" t="s">
        <v>3</v>
      </c>
      <c r="E14" s="120" t="s">
        <v>4</v>
      </c>
      <c r="F14" s="120" t="s">
        <v>5</v>
      </c>
      <c r="G14" s="120" t="s">
        <v>6</v>
      </c>
      <c r="H14" s="126" t="s">
        <v>7</v>
      </c>
      <c r="I14" s="126" t="s">
        <v>8</v>
      </c>
      <c r="L14" s="43" t="s">
        <v>9</v>
      </c>
      <c r="M14" s="44">
        <v>1.35</v>
      </c>
      <c r="N14" s="45"/>
      <c r="O14" s="46" t="s">
        <v>10</v>
      </c>
      <c r="P14" s="46" t="s">
        <v>8</v>
      </c>
      <c r="Q14" s="47"/>
      <c r="R14" s="48"/>
      <c r="W14" s="49"/>
    </row>
    <row r="15" spans="1:23" s="16" customFormat="1" ht="38" customHeight="1" x14ac:dyDescent="0.35">
      <c r="A15" s="42"/>
      <c r="B15" s="42"/>
      <c r="C15" s="42"/>
      <c r="D15" s="120"/>
      <c r="E15" s="120"/>
      <c r="F15" s="120"/>
      <c r="G15" s="121"/>
      <c r="H15" s="127"/>
      <c r="I15" s="127"/>
      <c r="L15" s="43" t="s">
        <v>11</v>
      </c>
      <c r="M15" s="50">
        <v>0.16</v>
      </c>
      <c r="N15" s="51"/>
      <c r="O15" s="53">
        <v>3800</v>
      </c>
      <c r="P15" s="53">
        <f>O15*G17</f>
        <v>3800</v>
      </c>
      <c r="Q15" s="47"/>
      <c r="R15" s="48"/>
    </row>
    <row r="16" spans="1:23" s="16" customFormat="1" ht="33.5" customHeight="1" x14ac:dyDescent="0.35">
      <c r="A16" s="15"/>
      <c r="D16" s="128"/>
      <c r="E16" s="129"/>
      <c r="F16" s="130"/>
      <c r="G16" s="131"/>
      <c r="H16" s="131"/>
      <c r="I16" s="132"/>
      <c r="L16" s="43"/>
      <c r="M16" s="50"/>
      <c r="N16" s="51"/>
      <c r="O16" s="53">
        <v>800</v>
      </c>
      <c r="P16" s="53">
        <f t="shared" ref="P16" si="0">O16*G18</f>
        <v>800</v>
      </c>
      <c r="Q16" s="47"/>
      <c r="R16" s="48"/>
    </row>
    <row r="17" spans="1:18" s="16" customFormat="1" ht="380" x14ac:dyDescent="1.1000000000000001">
      <c r="A17" s="15"/>
      <c r="D17" s="52">
        <v>1</v>
      </c>
      <c r="E17" s="99" t="s">
        <v>134</v>
      </c>
      <c r="F17" s="98" t="s">
        <v>135</v>
      </c>
      <c r="G17" s="100">
        <v>1</v>
      </c>
      <c r="H17" s="102">
        <f>O15*M$14*M$13</f>
        <v>5130</v>
      </c>
      <c r="I17" s="102">
        <f t="shared" ref="I17:I23" si="1">H17*G17</f>
        <v>5130</v>
      </c>
      <c r="L17" s="43"/>
      <c r="M17" s="50"/>
      <c r="N17" s="51"/>
      <c r="O17" s="53">
        <v>53.2</v>
      </c>
      <c r="P17" s="53">
        <f>O17*G19</f>
        <v>53.2</v>
      </c>
      <c r="Q17" s="47"/>
      <c r="R17" s="48"/>
    </row>
    <row r="18" spans="1:18" s="16" customFormat="1" ht="95" x14ac:dyDescent="1.1000000000000001">
      <c r="A18" s="15"/>
      <c r="D18" s="52">
        <v>2</v>
      </c>
      <c r="E18" s="99" t="s">
        <v>136</v>
      </c>
      <c r="F18" s="98" t="s">
        <v>137</v>
      </c>
      <c r="G18" s="100">
        <v>1</v>
      </c>
      <c r="H18" s="102">
        <f t="shared" ref="H18:H23" si="2">O16*M$14*M$13</f>
        <v>1080</v>
      </c>
      <c r="I18" s="102">
        <f t="shared" si="1"/>
        <v>1080</v>
      </c>
      <c r="L18" s="43"/>
      <c r="M18" s="50"/>
      <c r="N18" s="51"/>
      <c r="O18" s="53">
        <v>45.74</v>
      </c>
      <c r="P18" s="53">
        <f>O18*G20</f>
        <v>45.74</v>
      </c>
      <c r="Q18" s="47"/>
      <c r="R18" s="48"/>
    </row>
    <row r="19" spans="1:18" s="16" customFormat="1" ht="47.5" x14ac:dyDescent="1.1000000000000001">
      <c r="A19" s="15"/>
      <c r="D19" s="52">
        <v>3</v>
      </c>
      <c r="E19" s="99" t="s">
        <v>138</v>
      </c>
      <c r="F19" s="98" t="s">
        <v>139</v>
      </c>
      <c r="G19" s="100">
        <v>1</v>
      </c>
      <c r="H19" s="102">
        <f t="shared" si="2"/>
        <v>71.820000000000007</v>
      </c>
      <c r="I19" s="102">
        <f t="shared" si="1"/>
        <v>71.820000000000007</v>
      </c>
      <c r="L19" s="43"/>
      <c r="M19" s="50"/>
      <c r="N19" s="51"/>
      <c r="O19" s="53">
        <v>630</v>
      </c>
      <c r="P19" s="53">
        <f>O19*G21</f>
        <v>630</v>
      </c>
      <c r="Q19" s="47"/>
      <c r="R19" s="48"/>
    </row>
    <row r="20" spans="1:18" s="16" customFormat="1" ht="47.5" x14ac:dyDescent="1.1000000000000001">
      <c r="A20" s="15"/>
      <c r="D20" s="52">
        <v>4</v>
      </c>
      <c r="E20" s="99" t="s">
        <v>140</v>
      </c>
      <c r="F20" s="98" t="s">
        <v>141</v>
      </c>
      <c r="G20" s="100">
        <v>1</v>
      </c>
      <c r="H20" s="102">
        <f t="shared" si="2"/>
        <v>61.749000000000009</v>
      </c>
      <c r="I20" s="102">
        <f t="shared" si="1"/>
        <v>61.749000000000009</v>
      </c>
      <c r="L20" s="43"/>
      <c r="M20" s="50"/>
      <c r="N20" s="51"/>
      <c r="O20" s="53">
        <v>190</v>
      </c>
      <c r="P20" s="53">
        <f>O20*G22</f>
        <v>760</v>
      </c>
      <c r="Q20" s="47"/>
      <c r="R20" s="48"/>
    </row>
    <row r="21" spans="1:18" s="16" customFormat="1" ht="47.5" x14ac:dyDescent="1.1000000000000001">
      <c r="A21" s="15"/>
      <c r="D21" s="52">
        <v>5</v>
      </c>
      <c r="E21" s="99" t="s">
        <v>142</v>
      </c>
      <c r="F21" s="98" t="s">
        <v>143</v>
      </c>
      <c r="G21" s="100">
        <v>1</v>
      </c>
      <c r="H21" s="102">
        <f t="shared" si="2"/>
        <v>850.5</v>
      </c>
      <c r="I21" s="102">
        <f t="shared" si="1"/>
        <v>850.5</v>
      </c>
      <c r="L21" s="43"/>
      <c r="M21" s="50"/>
      <c r="N21" s="51"/>
      <c r="O21" s="53">
        <v>200</v>
      </c>
      <c r="P21" s="53">
        <f>O21*G23</f>
        <v>200</v>
      </c>
      <c r="Q21" s="47"/>
      <c r="R21" s="48"/>
    </row>
    <row r="22" spans="1:18" s="16" customFormat="1" ht="142.5" x14ac:dyDescent="1.1000000000000001">
      <c r="A22" s="15"/>
      <c r="D22" s="52">
        <v>6</v>
      </c>
      <c r="E22" s="99" t="s">
        <v>144</v>
      </c>
      <c r="F22" s="98" t="s">
        <v>145</v>
      </c>
      <c r="G22" s="100">
        <v>4</v>
      </c>
      <c r="H22" s="102">
        <f t="shared" si="2"/>
        <v>256.5</v>
      </c>
      <c r="I22" s="102">
        <f t="shared" si="1"/>
        <v>1026</v>
      </c>
      <c r="L22" s="43"/>
      <c r="M22" s="50"/>
      <c r="N22" s="51"/>
      <c r="O22" s="53"/>
      <c r="P22" s="53"/>
      <c r="Q22" s="47"/>
      <c r="R22" s="48"/>
    </row>
    <row r="23" spans="1:18" s="16" customFormat="1" ht="142.5" x14ac:dyDescent="1.1000000000000001">
      <c r="A23" s="15"/>
      <c r="D23" s="52">
        <v>7</v>
      </c>
      <c r="E23" s="99" t="s">
        <v>146</v>
      </c>
      <c r="F23" s="98" t="s">
        <v>145</v>
      </c>
      <c r="G23" s="100">
        <v>1</v>
      </c>
      <c r="H23" s="102">
        <f t="shared" si="2"/>
        <v>270</v>
      </c>
      <c r="I23" s="102">
        <f t="shared" si="1"/>
        <v>270</v>
      </c>
      <c r="L23" s="43"/>
      <c r="M23" s="50"/>
      <c r="N23" s="51"/>
      <c r="O23" s="53"/>
      <c r="P23" s="53"/>
      <c r="Q23" s="47"/>
      <c r="R23" s="48"/>
    </row>
    <row r="24" spans="1:18" s="60" customFormat="1" ht="19.5" customHeight="1" x14ac:dyDescent="1.1000000000000001">
      <c r="A24" s="54"/>
      <c r="B24" s="55"/>
      <c r="C24" s="55"/>
      <c r="D24" s="133"/>
      <c r="E24" s="134"/>
      <c r="F24" s="134"/>
      <c r="G24" s="134"/>
      <c r="H24" s="134"/>
      <c r="I24" s="135"/>
      <c r="J24" s="55"/>
      <c r="K24" s="55"/>
      <c r="L24" s="56"/>
      <c r="M24" s="57"/>
      <c r="N24" s="57"/>
      <c r="O24" s="58"/>
      <c r="P24" s="59"/>
      <c r="R24" s="55"/>
    </row>
    <row r="25" spans="1:18" s="60" customFormat="1" ht="47.5" x14ac:dyDescent="1.1000000000000001">
      <c r="A25" s="54"/>
      <c r="B25" s="55"/>
      <c r="C25" s="55"/>
      <c r="D25" s="61"/>
      <c r="E25" s="62"/>
      <c r="F25" s="62"/>
      <c r="G25" s="62"/>
      <c r="H25" s="63" t="s">
        <v>12</v>
      </c>
      <c r="I25" s="103">
        <f>SUM(I17:I23)</f>
        <v>8490.0689999999995</v>
      </c>
      <c r="J25" s="55"/>
      <c r="K25" s="55"/>
      <c r="L25" s="64"/>
      <c r="M25" s="57"/>
      <c r="N25" s="57"/>
      <c r="O25" s="65" t="s">
        <v>13</v>
      </c>
      <c r="P25" s="66">
        <f>SUM(P15:P21)</f>
        <v>6288.94</v>
      </c>
      <c r="Q25" s="67">
        <f>P25*M13</f>
        <v>6288.94</v>
      </c>
      <c r="R25" s="55"/>
    </row>
    <row r="26" spans="1:18" s="60" customFormat="1" ht="47.5" x14ac:dyDescent="1.1000000000000001">
      <c r="A26" s="54"/>
      <c r="B26" s="55"/>
      <c r="C26" s="55"/>
      <c r="D26" s="61"/>
      <c r="E26" s="62"/>
      <c r="F26" s="62"/>
      <c r="G26" s="62"/>
      <c r="H26" s="68" t="s">
        <v>133</v>
      </c>
      <c r="I26" s="103">
        <f>I25*M15</f>
        <v>1358.41104</v>
      </c>
      <c r="J26" s="55"/>
      <c r="K26" s="69" t="s">
        <v>14</v>
      </c>
      <c r="L26" s="70">
        <f>(I25-Q25)</f>
        <v>2201.1289999999999</v>
      </c>
      <c r="M26" s="71">
        <f>L26/Q25</f>
        <v>0.35000000000000003</v>
      </c>
      <c r="N26" s="57"/>
      <c r="O26" s="72" t="s">
        <v>132</v>
      </c>
      <c r="P26" s="66">
        <f>P25*M15</f>
        <v>1006.2303999999999</v>
      </c>
      <c r="Q26" s="60" t="s">
        <v>1</v>
      </c>
      <c r="R26" s="55"/>
    </row>
    <row r="27" spans="1:18" s="60" customFormat="1" ht="47.5" x14ac:dyDescent="1.1000000000000001">
      <c r="A27" s="54"/>
      <c r="B27" s="55"/>
      <c r="C27" s="55"/>
      <c r="D27" s="61"/>
      <c r="E27" s="62"/>
      <c r="F27" s="62"/>
      <c r="G27" s="62"/>
      <c r="H27" s="68" t="s">
        <v>15</v>
      </c>
      <c r="I27" s="103">
        <f>SUM(I25:I26)</f>
        <v>9848.4800399999986</v>
      </c>
      <c r="J27" s="55"/>
      <c r="K27" s="55"/>
      <c r="L27" s="73"/>
      <c r="M27" s="57"/>
      <c r="N27" s="57"/>
      <c r="O27" s="72" t="s">
        <v>16</v>
      </c>
      <c r="P27" s="66">
        <f>SUM(P25:P26)</f>
        <v>7295.1703999999991</v>
      </c>
      <c r="Q27" s="60" t="s">
        <v>1</v>
      </c>
      <c r="R27" s="55"/>
    </row>
    <row r="28" spans="1:18" s="60" customFormat="1" ht="14.5" customHeight="1" x14ac:dyDescent="1.1000000000000001">
      <c r="A28" s="54"/>
      <c r="B28" s="55"/>
      <c r="C28" s="55"/>
      <c r="D28" s="61"/>
      <c r="E28" s="62"/>
      <c r="F28" s="62" t="s">
        <v>1</v>
      </c>
      <c r="G28" s="62"/>
      <c r="H28" s="62"/>
      <c r="I28" s="74"/>
      <c r="J28" s="55"/>
      <c r="K28" s="55"/>
      <c r="L28" s="75" t="s">
        <v>1</v>
      </c>
      <c r="M28" s="55"/>
      <c r="N28" s="55"/>
      <c r="O28" s="76"/>
      <c r="P28" s="55"/>
      <c r="R28" s="55"/>
    </row>
    <row r="29" spans="1:18" s="60" customFormat="1" ht="47.5" customHeight="1" x14ac:dyDescent="1.1000000000000001">
      <c r="A29" s="54"/>
      <c r="B29" s="55"/>
      <c r="C29" s="55"/>
      <c r="D29" s="136" t="s">
        <v>22</v>
      </c>
      <c r="E29" s="137"/>
      <c r="F29" s="137"/>
      <c r="G29" s="62"/>
      <c r="H29" s="62"/>
      <c r="I29" s="74" t="s">
        <v>1</v>
      </c>
      <c r="J29" s="55"/>
      <c r="K29" s="55"/>
      <c r="L29" s="77"/>
      <c r="M29" s="55"/>
      <c r="N29" s="55"/>
      <c r="O29" s="78"/>
      <c r="P29" s="78"/>
      <c r="Q29" s="79"/>
      <c r="R29" s="55"/>
    </row>
    <row r="30" spans="1:18" s="60" customFormat="1" ht="47.5" x14ac:dyDescent="1.1000000000000001">
      <c r="A30" s="54"/>
      <c r="B30" s="55"/>
      <c r="C30" s="55"/>
      <c r="D30" s="80" t="s">
        <v>21</v>
      </c>
      <c r="E30" s="81"/>
      <c r="F30" s="82"/>
      <c r="G30" s="62"/>
      <c r="H30" s="62" t="s">
        <v>1</v>
      </c>
      <c r="I30" s="74"/>
      <c r="J30" s="55"/>
      <c r="K30" s="55"/>
      <c r="L30" s="83"/>
      <c r="M30" s="88"/>
      <c r="N30" s="55"/>
      <c r="O30" s="78"/>
      <c r="P30" s="78"/>
      <c r="Q30" s="79"/>
      <c r="R30" s="55"/>
    </row>
    <row r="31" spans="1:18" s="60" customFormat="1" ht="47.5" x14ac:dyDescent="1.1000000000000001">
      <c r="A31" s="54"/>
      <c r="B31" s="55"/>
      <c r="C31" s="55"/>
      <c r="D31" s="85" t="s">
        <v>17</v>
      </c>
      <c r="E31" s="37"/>
      <c r="F31" s="86"/>
      <c r="G31" s="62"/>
      <c r="H31" s="62"/>
      <c r="I31" s="74"/>
      <c r="J31" s="55"/>
      <c r="K31" s="55"/>
      <c r="L31" s="84"/>
      <c r="M31" s="101"/>
      <c r="N31" s="55"/>
      <c r="O31" s="78"/>
      <c r="P31" s="78"/>
      <c r="Q31" s="79"/>
      <c r="R31" s="55"/>
    </row>
    <row r="32" spans="1:18" s="60" customFormat="1" ht="47.5" x14ac:dyDescent="1.1000000000000001">
      <c r="A32" s="54"/>
      <c r="B32" s="55"/>
      <c r="C32" s="55"/>
      <c r="D32" s="87" t="s">
        <v>18</v>
      </c>
      <c r="E32" s="11"/>
      <c r="F32" s="27"/>
      <c r="G32" s="62"/>
      <c r="H32" s="62"/>
      <c r="I32" s="74"/>
      <c r="J32" s="55"/>
      <c r="K32" s="55"/>
      <c r="L32" s="88"/>
      <c r="M32" s="64"/>
      <c r="N32" s="55"/>
      <c r="O32" s="78"/>
      <c r="P32" s="78"/>
      <c r="Q32" s="79"/>
      <c r="R32" s="55"/>
    </row>
    <row r="33" spans="1:18" s="60" customFormat="1" ht="11.5" customHeight="1" x14ac:dyDescent="1.1000000000000001">
      <c r="A33" s="54"/>
      <c r="B33" s="55"/>
      <c r="C33" s="55"/>
      <c r="D33" s="87"/>
      <c r="E33" s="11"/>
      <c r="F33" s="27"/>
      <c r="G33" s="62"/>
      <c r="H33" s="62"/>
      <c r="I33" s="74"/>
      <c r="J33" s="55"/>
      <c r="K33" s="55"/>
      <c r="L33" s="88"/>
      <c r="M33" s="64"/>
      <c r="N33" s="55"/>
      <c r="O33" s="78"/>
      <c r="P33" s="78"/>
      <c r="Q33" s="79"/>
      <c r="R33" s="55"/>
    </row>
    <row r="34" spans="1:18" s="60" customFormat="1" ht="47.5" x14ac:dyDescent="1.1000000000000001">
      <c r="A34" s="54"/>
      <c r="B34" s="55"/>
      <c r="C34" s="55"/>
      <c r="D34" s="124" t="s">
        <v>19</v>
      </c>
      <c r="E34" s="125"/>
      <c r="F34" s="125"/>
      <c r="G34" s="62"/>
      <c r="H34" s="62"/>
      <c r="I34" s="74"/>
      <c r="J34" s="55"/>
      <c r="K34" s="55"/>
      <c r="L34" s="88"/>
      <c r="M34" s="89"/>
      <c r="N34" s="55"/>
      <c r="O34" s="78"/>
      <c r="P34" s="78"/>
      <c r="Q34" s="79"/>
      <c r="R34" s="55"/>
    </row>
    <row r="35" spans="1:18" s="60" customFormat="1" ht="47.5" x14ac:dyDescent="1.1000000000000001">
      <c r="A35" s="54"/>
      <c r="B35" s="55"/>
      <c r="C35" s="55"/>
      <c r="D35" s="90" t="s">
        <v>20</v>
      </c>
      <c r="E35" s="91"/>
      <c r="F35" s="92"/>
      <c r="G35" s="93"/>
      <c r="H35" s="93"/>
      <c r="I35" s="94"/>
      <c r="J35" s="55"/>
      <c r="K35" s="55"/>
      <c r="L35" s="88"/>
      <c r="M35" s="55"/>
      <c r="N35" s="55"/>
      <c r="O35" s="78"/>
      <c r="P35" s="78"/>
      <c r="Q35" s="79"/>
      <c r="R35" s="55"/>
    </row>
    <row r="36" spans="1:18" ht="47.5" x14ac:dyDescent="0.7">
      <c r="P36" s="96"/>
      <c r="Q36" s="97"/>
    </row>
    <row r="37" spans="1:18" ht="47.5" x14ac:dyDescent="0.7">
      <c r="P37" s="96"/>
      <c r="Q37" s="97"/>
    </row>
  </sheetData>
  <mergeCells count="13">
    <mergeCell ref="H14:H15"/>
    <mergeCell ref="I14:I15"/>
    <mergeCell ref="D16:I16"/>
    <mergeCell ref="D24:I24"/>
    <mergeCell ref="D29:F29"/>
    <mergeCell ref="D34:F34"/>
    <mergeCell ref="D6:F6"/>
    <mergeCell ref="F10:G10"/>
    <mergeCell ref="D11:F11"/>
    <mergeCell ref="D14:D15"/>
    <mergeCell ref="E14:E15"/>
    <mergeCell ref="F14:F15"/>
    <mergeCell ref="G14:G15"/>
  </mergeCell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1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7579-99AB-4FCE-9B27-4B120880F677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CBFC-61F2-4ADE-AE8C-87EBBEDF95B6}">
  <sheetPr>
    <pageSetUpPr fitToPage="1"/>
  </sheetPr>
  <dimension ref="A1:W33"/>
  <sheetViews>
    <sheetView view="pageBreakPreview" topLeftCell="B1" zoomScale="24" zoomScaleNormal="100" zoomScaleSheetLayoutView="25" zoomScalePageLayoutView="25" workbookViewId="0">
      <selection activeCell="H1" sqref="H1:I9"/>
    </sheetView>
  </sheetViews>
  <sheetFormatPr defaultColWidth="9.1796875" defaultRowHeight="31" x14ac:dyDescent="0.7"/>
  <cols>
    <col min="1" max="1" width="0" style="55" hidden="1" customWidth="1"/>
    <col min="2" max="3" width="0.81640625" style="55" customWidth="1"/>
    <col min="4" max="4" width="15" style="55" customWidth="1"/>
    <col min="5" max="5" width="61.1796875" style="55" bestFit="1" customWidth="1"/>
    <col min="6" max="6" width="157.1796875" style="55" customWidth="1"/>
    <col min="7" max="7" width="20.453125" style="55" customWidth="1"/>
    <col min="8" max="8" width="59" style="95" customWidth="1"/>
    <col min="9" max="9" width="68.6328125" style="55" customWidth="1"/>
    <col min="10" max="11" width="9.1796875" style="55" customWidth="1"/>
    <col min="12" max="12" width="59.36328125" style="55" bestFit="1" customWidth="1"/>
    <col min="13" max="13" width="59.36328125" style="55" customWidth="1"/>
    <col min="14" max="14" width="35.453125" style="55" hidden="1" customWidth="1"/>
    <col min="15" max="15" width="53.08984375" style="76" customWidth="1"/>
    <col min="16" max="16" width="52.453125" style="55" customWidth="1"/>
    <col min="17" max="17" width="55.6328125" style="60" customWidth="1"/>
    <col min="18" max="18" width="47.1796875" style="55" customWidth="1"/>
    <col min="19" max="19" width="18.453125" style="55" bestFit="1" customWidth="1"/>
    <col min="20" max="20" width="43.1796875" style="55" bestFit="1" customWidth="1"/>
    <col min="21" max="21" width="39.81640625" style="55" bestFit="1" customWidth="1"/>
    <col min="22" max="22" width="36.81640625" style="55" bestFit="1" customWidth="1"/>
    <col min="23" max="23" width="50.36328125" style="55" bestFit="1" customWidth="1"/>
    <col min="24" max="24" width="34.453125" style="55" bestFit="1" customWidth="1"/>
    <col min="25" max="16384" width="9.1796875" style="55"/>
  </cols>
  <sheetData>
    <row r="1" spans="1:23" s="5" customFormat="1" ht="40" customHeight="1" x14ac:dyDescent="0.35">
      <c r="A1" s="1"/>
      <c r="B1" s="2"/>
      <c r="C1" s="2"/>
      <c r="D1" s="3"/>
      <c r="E1" s="4"/>
      <c r="F1" s="4"/>
      <c r="G1" s="4"/>
      <c r="H1" s="111" t="s">
        <v>125</v>
      </c>
      <c r="I1" s="112"/>
      <c r="O1" s="6"/>
      <c r="Q1" s="7"/>
    </row>
    <row r="2" spans="1:23" s="5" customFormat="1" ht="40" customHeight="1" x14ac:dyDescent="0.35">
      <c r="A2" s="8"/>
      <c r="D2" s="9"/>
      <c r="E2" s="10"/>
      <c r="F2" s="10"/>
      <c r="G2" s="10"/>
      <c r="H2" s="113" t="s">
        <v>126</v>
      </c>
      <c r="I2" s="114"/>
      <c r="O2" s="6"/>
      <c r="Q2" s="7"/>
    </row>
    <row r="3" spans="1:23" s="5" customFormat="1" ht="40" customHeight="1" x14ac:dyDescent="0.35">
      <c r="A3" s="8"/>
      <c r="D3" s="9"/>
      <c r="E3" s="10"/>
      <c r="F3" s="10"/>
      <c r="G3" s="10"/>
      <c r="H3" s="113" t="s">
        <v>127</v>
      </c>
      <c r="I3" s="115"/>
      <c r="O3" s="12"/>
      <c r="P3" s="13"/>
      <c r="Q3" s="7"/>
    </row>
    <row r="4" spans="1:23" s="5" customFormat="1" ht="40" customHeight="1" x14ac:dyDescent="0.35">
      <c r="A4" s="8"/>
      <c r="D4" s="9"/>
      <c r="E4" s="10"/>
      <c r="F4" s="10"/>
      <c r="G4" s="10"/>
      <c r="H4" s="113" t="s">
        <v>128</v>
      </c>
      <c r="I4" s="115"/>
      <c r="O4" s="12"/>
      <c r="P4" s="13"/>
      <c r="Q4" s="7"/>
    </row>
    <row r="5" spans="1:23" s="5" customFormat="1" ht="40" customHeight="1" x14ac:dyDescent="0.35">
      <c r="A5" s="8"/>
      <c r="D5" s="9"/>
      <c r="E5" s="10"/>
      <c r="F5" s="10"/>
      <c r="G5" s="10"/>
      <c r="H5" s="113" t="s">
        <v>129</v>
      </c>
      <c r="I5" s="115"/>
      <c r="O5" s="12"/>
      <c r="P5" s="13"/>
      <c r="Q5" s="7"/>
    </row>
    <row r="6" spans="1:23" s="5" customFormat="1" ht="40" customHeight="1" x14ac:dyDescent="0.35">
      <c r="A6" s="8"/>
      <c r="D6" s="117"/>
      <c r="E6" s="118"/>
      <c r="F6" s="118"/>
      <c r="G6" s="14"/>
      <c r="H6" s="113" t="s">
        <v>130</v>
      </c>
      <c r="I6" s="115"/>
      <c r="O6" s="12"/>
      <c r="P6" s="13"/>
      <c r="Q6" s="7"/>
    </row>
    <row r="7" spans="1:23" s="5" customFormat="1" ht="47.5" customHeight="1" x14ac:dyDescent="0.35">
      <c r="A7" s="8"/>
      <c r="D7" s="9"/>
      <c r="E7" s="10"/>
      <c r="H7" s="113" t="s">
        <v>131</v>
      </c>
      <c r="I7" s="115"/>
      <c r="O7" s="12"/>
      <c r="P7" s="13"/>
      <c r="Q7" s="7"/>
    </row>
    <row r="8" spans="1:23" s="16" customFormat="1" ht="39.75" customHeight="1" x14ac:dyDescent="0.35">
      <c r="A8" s="15"/>
      <c r="D8" s="17"/>
      <c r="E8" s="18"/>
      <c r="F8" s="18"/>
      <c r="G8" s="18"/>
      <c r="H8" s="113"/>
      <c r="I8" s="116"/>
      <c r="O8" s="20"/>
      <c r="P8" s="21"/>
      <c r="Q8" s="22"/>
    </row>
    <row r="9" spans="1:23" s="16" customFormat="1" ht="40" customHeight="1" x14ac:dyDescent="0.35">
      <c r="A9" s="15"/>
      <c r="D9" s="17"/>
      <c r="E9" s="18"/>
      <c r="F9" s="18"/>
      <c r="G9" s="18"/>
      <c r="H9" s="113" t="s">
        <v>24</v>
      </c>
      <c r="I9" s="116"/>
      <c r="O9" s="20"/>
      <c r="P9" s="21"/>
      <c r="Q9" s="22"/>
    </row>
    <row r="10" spans="1:23" s="16" customFormat="1" ht="39.5" customHeight="1" x14ac:dyDescent="0.35">
      <c r="A10" s="15"/>
      <c r="D10" s="17"/>
      <c r="E10" s="18"/>
      <c r="F10" s="119" t="s">
        <v>0</v>
      </c>
      <c r="G10" s="119"/>
      <c r="H10" s="11"/>
      <c r="I10" s="19"/>
      <c r="L10" s="23"/>
      <c r="M10" s="7"/>
      <c r="N10" s="5"/>
      <c r="O10" s="12"/>
      <c r="P10" s="24"/>
      <c r="Q10" s="7"/>
    </row>
    <row r="11" spans="1:23" s="16" customFormat="1" ht="79.5" customHeight="1" x14ac:dyDescent="0.35">
      <c r="A11" s="15"/>
      <c r="D11" s="122" t="s">
        <v>23</v>
      </c>
      <c r="E11" s="123"/>
      <c r="F11" s="123"/>
      <c r="G11" s="27"/>
      <c r="H11" s="11" t="s">
        <v>123</v>
      </c>
      <c r="I11" s="28"/>
      <c r="L11" s="29"/>
      <c r="M11" s="7"/>
      <c r="N11" s="5"/>
      <c r="O11" s="6"/>
      <c r="P11" s="30"/>
      <c r="Q11" s="7" t="s">
        <v>1</v>
      </c>
    </row>
    <row r="12" spans="1:23" s="16" customFormat="1" ht="40" customHeight="1" x14ac:dyDescent="0.35">
      <c r="A12" s="15"/>
      <c r="D12" s="25" t="s">
        <v>124</v>
      </c>
      <c r="E12" s="26"/>
      <c r="F12" s="31"/>
      <c r="G12" s="31"/>
      <c r="H12" s="27"/>
      <c r="I12" s="32"/>
      <c r="L12" s="5"/>
      <c r="M12" s="5"/>
      <c r="N12" s="5"/>
      <c r="O12" s="6"/>
      <c r="P12" s="30"/>
      <c r="Q12" s="7"/>
      <c r="T12" s="16" t="s">
        <v>1</v>
      </c>
    </row>
    <row r="13" spans="1:23" s="16" customFormat="1" ht="36" customHeight="1" x14ac:dyDescent="0.35">
      <c r="A13" s="15"/>
      <c r="D13" s="33"/>
      <c r="E13" s="34"/>
      <c r="F13" s="35"/>
      <c r="G13" s="36"/>
      <c r="H13" s="37"/>
      <c r="I13" s="32"/>
      <c r="L13" s="38" t="s">
        <v>2</v>
      </c>
      <c r="M13" s="39">
        <v>1</v>
      </c>
      <c r="N13" s="40"/>
      <c r="O13" s="41"/>
      <c r="P13" s="40"/>
      <c r="Q13" s="7"/>
    </row>
    <row r="14" spans="1:23" s="16" customFormat="1" ht="28" customHeight="1" x14ac:dyDescent="0.35">
      <c r="A14" s="42"/>
      <c r="B14" s="42"/>
      <c r="C14" s="42"/>
      <c r="D14" s="120" t="s">
        <v>3</v>
      </c>
      <c r="E14" s="120" t="s">
        <v>4</v>
      </c>
      <c r="F14" s="120" t="s">
        <v>5</v>
      </c>
      <c r="G14" s="120" t="s">
        <v>6</v>
      </c>
      <c r="H14" s="126" t="s">
        <v>7</v>
      </c>
      <c r="I14" s="126" t="s">
        <v>8</v>
      </c>
      <c r="L14" s="43" t="s">
        <v>9</v>
      </c>
      <c r="M14" s="44">
        <v>1.35</v>
      </c>
      <c r="N14" s="45"/>
      <c r="O14" s="46" t="s">
        <v>10</v>
      </c>
      <c r="P14" s="46" t="s">
        <v>8</v>
      </c>
      <c r="Q14" s="47"/>
      <c r="R14" s="48"/>
      <c r="W14" s="49"/>
    </row>
    <row r="15" spans="1:23" s="16" customFormat="1" ht="38" customHeight="1" x14ac:dyDescent="0.35">
      <c r="A15" s="42"/>
      <c r="B15" s="42"/>
      <c r="C15" s="42"/>
      <c r="D15" s="120"/>
      <c r="E15" s="120"/>
      <c r="F15" s="120"/>
      <c r="G15" s="121"/>
      <c r="H15" s="127"/>
      <c r="I15" s="127"/>
      <c r="L15" s="43" t="s">
        <v>11</v>
      </c>
      <c r="M15" s="50">
        <v>0.16</v>
      </c>
      <c r="N15" s="51"/>
      <c r="O15" s="53">
        <v>11181.325443787</v>
      </c>
      <c r="P15" s="53">
        <f>O15*G17</f>
        <v>11181.325443787</v>
      </c>
      <c r="Q15" s="47"/>
      <c r="R15" s="48"/>
    </row>
    <row r="16" spans="1:23" s="16" customFormat="1" ht="33.5" customHeight="1" x14ac:dyDescent="0.35">
      <c r="A16" s="15"/>
      <c r="D16" s="128"/>
      <c r="E16" s="129"/>
      <c r="F16" s="130"/>
      <c r="G16" s="131"/>
      <c r="H16" s="131"/>
      <c r="I16" s="132"/>
      <c r="L16" s="43"/>
      <c r="M16" s="50"/>
      <c r="N16" s="51"/>
      <c r="O16" s="53">
        <v>262.30769230769198</v>
      </c>
      <c r="P16" s="53">
        <f>O16*G18</f>
        <v>262.30769230769198</v>
      </c>
      <c r="Q16" s="47"/>
      <c r="R16" s="48"/>
    </row>
    <row r="17" spans="1:18" s="16" customFormat="1" ht="47.5" x14ac:dyDescent="1.1000000000000001">
      <c r="A17" s="15"/>
      <c r="D17" s="52">
        <v>1</v>
      </c>
      <c r="E17" s="99" t="s">
        <v>29</v>
      </c>
      <c r="F17" s="98" t="s">
        <v>30</v>
      </c>
      <c r="G17" s="100">
        <v>1</v>
      </c>
      <c r="H17" s="102">
        <f>O15*M$14*M$13</f>
        <v>15094.789349112451</v>
      </c>
      <c r="I17" s="102">
        <f t="shared" ref="I17:I19" si="0">H17*G17</f>
        <v>15094.789349112451</v>
      </c>
      <c r="L17" s="43"/>
      <c r="M17" s="50"/>
      <c r="N17" s="51"/>
      <c r="O17" s="53">
        <v>223.45562130177501</v>
      </c>
      <c r="P17" s="53">
        <f>O17*G19</f>
        <v>223.45562130177501</v>
      </c>
      <c r="Q17" s="47"/>
      <c r="R17" s="48"/>
    </row>
    <row r="18" spans="1:18" s="16" customFormat="1" ht="47.5" x14ac:dyDescent="1.1000000000000001">
      <c r="A18" s="15"/>
      <c r="D18" s="52">
        <v>2</v>
      </c>
      <c r="E18" s="99" t="s">
        <v>32</v>
      </c>
      <c r="F18" s="98" t="s">
        <v>33</v>
      </c>
      <c r="G18" s="100">
        <v>1</v>
      </c>
      <c r="H18" s="102">
        <f t="shared" ref="H18:H19" si="1">O16*M$14*M$13</f>
        <v>354.11538461538419</v>
      </c>
      <c r="I18" s="102">
        <f t="shared" si="0"/>
        <v>354.11538461538419</v>
      </c>
      <c r="L18" s="43"/>
      <c r="M18" s="50"/>
      <c r="N18" s="51"/>
      <c r="O18" s="53"/>
      <c r="P18" s="53"/>
      <c r="Q18" s="47"/>
      <c r="R18" s="48"/>
    </row>
    <row r="19" spans="1:18" s="16" customFormat="1" ht="47.5" x14ac:dyDescent="1.1000000000000001">
      <c r="A19" s="15"/>
      <c r="D19" s="52">
        <v>3</v>
      </c>
      <c r="E19" s="99" t="s">
        <v>34</v>
      </c>
      <c r="F19" s="98" t="s">
        <v>35</v>
      </c>
      <c r="G19" s="100">
        <v>1</v>
      </c>
      <c r="H19" s="102">
        <f t="shared" si="1"/>
        <v>301.66508875739629</v>
      </c>
      <c r="I19" s="102">
        <f t="shared" si="0"/>
        <v>301.66508875739629</v>
      </c>
      <c r="L19" s="43"/>
      <c r="M19" s="50"/>
      <c r="N19" s="51"/>
      <c r="O19" s="53"/>
      <c r="P19" s="53"/>
      <c r="Q19" s="47"/>
      <c r="R19" s="48"/>
    </row>
    <row r="20" spans="1:18" s="60" customFormat="1" ht="19.5" customHeight="1" x14ac:dyDescent="1.1000000000000001">
      <c r="A20" s="54"/>
      <c r="B20" s="55"/>
      <c r="C20" s="55"/>
      <c r="D20" s="133"/>
      <c r="E20" s="134"/>
      <c r="F20" s="134"/>
      <c r="G20" s="134"/>
      <c r="H20" s="134"/>
      <c r="I20" s="135"/>
      <c r="J20" s="55"/>
      <c r="K20" s="55"/>
      <c r="L20" s="56"/>
      <c r="M20" s="57"/>
      <c r="N20" s="57"/>
      <c r="O20" s="58"/>
      <c r="P20" s="59"/>
      <c r="R20" s="55"/>
    </row>
    <row r="21" spans="1:18" s="60" customFormat="1" ht="47.5" x14ac:dyDescent="1.1000000000000001">
      <c r="A21" s="54"/>
      <c r="B21" s="55"/>
      <c r="C21" s="55"/>
      <c r="D21" s="61"/>
      <c r="E21" s="62"/>
      <c r="F21" s="62"/>
      <c r="G21" s="62"/>
      <c r="H21" s="63" t="s">
        <v>12</v>
      </c>
      <c r="I21" s="103">
        <f>SUM(I17:I19)</f>
        <v>15750.569822485231</v>
      </c>
      <c r="J21" s="55"/>
      <c r="K21" s="55"/>
      <c r="L21" s="64"/>
      <c r="M21" s="57"/>
      <c r="N21" s="57"/>
      <c r="O21" s="65" t="s">
        <v>13</v>
      </c>
      <c r="P21" s="66">
        <f>SUM(P15:P17)</f>
        <v>11667.088757396466</v>
      </c>
      <c r="Q21" s="67">
        <f>P21*M13</f>
        <v>11667.088757396466</v>
      </c>
      <c r="R21" s="55"/>
    </row>
    <row r="22" spans="1:18" s="60" customFormat="1" ht="47.5" x14ac:dyDescent="1.1000000000000001">
      <c r="A22" s="54"/>
      <c r="B22" s="55"/>
      <c r="C22" s="55"/>
      <c r="D22" s="61"/>
      <c r="E22" s="62"/>
      <c r="F22" s="62"/>
      <c r="G22" s="62"/>
      <c r="H22" s="68" t="s">
        <v>133</v>
      </c>
      <c r="I22" s="103">
        <f>I21*M15</f>
        <v>2520.0911715976372</v>
      </c>
      <c r="J22" s="55"/>
      <c r="K22" s="69" t="s">
        <v>14</v>
      </c>
      <c r="L22" s="70">
        <f>(I21-Q21)</f>
        <v>4083.4810650887648</v>
      </c>
      <c r="M22" s="71">
        <f>L22/Q21</f>
        <v>0.35000000000000014</v>
      </c>
      <c r="N22" s="57"/>
      <c r="O22" s="72" t="s">
        <v>132</v>
      </c>
      <c r="P22" s="66">
        <f>P21*M15</f>
        <v>1866.7342011834346</v>
      </c>
      <c r="Q22" s="60" t="s">
        <v>1</v>
      </c>
      <c r="R22" s="55"/>
    </row>
    <row r="23" spans="1:18" s="60" customFormat="1" ht="47.5" x14ac:dyDescent="1.1000000000000001">
      <c r="A23" s="54"/>
      <c r="B23" s="55"/>
      <c r="C23" s="55"/>
      <c r="D23" s="61"/>
      <c r="E23" s="62"/>
      <c r="F23" s="62"/>
      <c r="G23" s="62"/>
      <c r="H23" s="68" t="s">
        <v>15</v>
      </c>
      <c r="I23" s="103">
        <f>SUM(I21:I22)</f>
        <v>18270.660994082868</v>
      </c>
      <c r="J23" s="55"/>
      <c r="K23" s="55"/>
      <c r="L23" s="73"/>
      <c r="M23" s="57"/>
      <c r="N23" s="57"/>
      <c r="O23" s="72" t="s">
        <v>16</v>
      </c>
      <c r="P23" s="66">
        <f>SUM(P21:P22)</f>
        <v>13533.822958579902</v>
      </c>
      <c r="Q23" s="60" t="s">
        <v>1</v>
      </c>
      <c r="R23" s="55"/>
    </row>
    <row r="24" spans="1:18" s="60" customFormat="1" ht="14.5" customHeight="1" x14ac:dyDescent="1.1000000000000001">
      <c r="A24" s="54"/>
      <c r="B24" s="55"/>
      <c r="C24" s="55"/>
      <c r="D24" s="61"/>
      <c r="E24" s="62"/>
      <c r="F24" s="62" t="s">
        <v>1</v>
      </c>
      <c r="G24" s="62"/>
      <c r="H24" s="62"/>
      <c r="I24" s="74"/>
      <c r="J24" s="55"/>
      <c r="K24" s="55"/>
      <c r="L24" s="75" t="s">
        <v>1</v>
      </c>
      <c r="M24" s="55"/>
      <c r="N24" s="55"/>
      <c r="O24" s="76"/>
      <c r="P24" s="55"/>
      <c r="R24" s="55"/>
    </row>
    <row r="25" spans="1:18" s="60" customFormat="1" ht="47.5" customHeight="1" x14ac:dyDescent="1.1000000000000001">
      <c r="A25" s="54"/>
      <c r="B25" s="55"/>
      <c r="C25" s="55"/>
      <c r="D25" s="136" t="s">
        <v>22</v>
      </c>
      <c r="E25" s="137"/>
      <c r="F25" s="137"/>
      <c r="G25" s="62"/>
      <c r="H25" s="62"/>
      <c r="I25" s="74" t="s">
        <v>1</v>
      </c>
      <c r="J25" s="55"/>
      <c r="K25" s="55"/>
      <c r="L25" s="77"/>
      <c r="M25" s="55"/>
      <c r="N25" s="55"/>
      <c r="O25" s="78"/>
      <c r="P25" s="78"/>
      <c r="Q25" s="79"/>
      <c r="R25" s="55"/>
    </row>
    <row r="26" spans="1:18" s="60" customFormat="1" ht="47.5" x14ac:dyDescent="1.1000000000000001">
      <c r="A26" s="54"/>
      <c r="B26" s="55"/>
      <c r="C26" s="55"/>
      <c r="D26" s="80" t="s">
        <v>21</v>
      </c>
      <c r="E26" s="81"/>
      <c r="F26" s="82"/>
      <c r="G26" s="62"/>
      <c r="H26" s="62" t="s">
        <v>1</v>
      </c>
      <c r="I26" s="74"/>
      <c r="J26" s="55"/>
      <c r="K26" s="55"/>
      <c r="L26" s="83"/>
      <c r="M26" s="88"/>
      <c r="N26" s="55"/>
      <c r="O26" s="78"/>
      <c r="P26" s="78"/>
      <c r="Q26" s="79"/>
      <c r="R26" s="55"/>
    </row>
    <row r="27" spans="1:18" s="60" customFormat="1" ht="47.5" x14ac:dyDescent="1.1000000000000001">
      <c r="A27" s="54"/>
      <c r="B27" s="55"/>
      <c r="C27" s="55"/>
      <c r="D27" s="85" t="s">
        <v>17</v>
      </c>
      <c r="E27" s="37"/>
      <c r="F27" s="86"/>
      <c r="G27" s="62"/>
      <c r="H27" s="62"/>
      <c r="I27" s="74"/>
      <c r="J27" s="55"/>
      <c r="K27" s="55"/>
      <c r="L27" s="84"/>
      <c r="M27" s="101"/>
      <c r="N27" s="55"/>
      <c r="O27" s="78"/>
      <c r="P27" s="78"/>
      <c r="Q27" s="79"/>
      <c r="R27" s="55"/>
    </row>
    <row r="28" spans="1:18" s="60" customFormat="1" ht="47.5" x14ac:dyDescent="1.1000000000000001">
      <c r="A28" s="54"/>
      <c r="B28" s="55"/>
      <c r="C28" s="55"/>
      <c r="D28" s="87" t="s">
        <v>18</v>
      </c>
      <c r="E28" s="11"/>
      <c r="F28" s="27"/>
      <c r="G28" s="62"/>
      <c r="H28" s="62"/>
      <c r="I28" s="74"/>
      <c r="J28" s="55"/>
      <c r="K28" s="55"/>
      <c r="L28" s="88"/>
      <c r="M28" s="64"/>
      <c r="N28" s="55"/>
      <c r="O28" s="78"/>
      <c r="P28" s="78"/>
      <c r="Q28" s="79"/>
      <c r="R28" s="55"/>
    </row>
    <row r="29" spans="1:18" s="60" customFormat="1" ht="11.5" customHeight="1" x14ac:dyDescent="1.1000000000000001">
      <c r="A29" s="54"/>
      <c r="B29" s="55"/>
      <c r="C29" s="55"/>
      <c r="D29" s="87"/>
      <c r="E29" s="11"/>
      <c r="F29" s="27"/>
      <c r="G29" s="62"/>
      <c r="H29" s="62"/>
      <c r="I29" s="74"/>
      <c r="J29" s="55"/>
      <c r="K29" s="55"/>
      <c r="L29" s="88"/>
      <c r="M29" s="64"/>
      <c r="N29" s="55"/>
      <c r="O29" s="78"/>
      <c r="P29" s="78"/>
      <c r="Q29" s="79"/>
      <c r="R29" s="55"/>
    </row>
    <row r="30" spans="1:18" s="60" customFormat="1" ht="47.5" x14ac:dyDescent="1.1000000000000001">
      <c r="A30" s="54"/>
      <c r="B30" s="55"/>
      <c r="C30" s="55"/>
      <c r="D30" s="124" t="s">
        <v>19</v>
      </c>
      <c r="E30" s="125"/>
      <c r="F30" s="125"/>
      <c r="G30" s="62"/>
      <c r="H30" s="62"/>
      <c r="I30" s="74"/>
      <c r="J30" s="55"/>
      <c r="K30" s="55"/>
      <c r="L30" s="88"/>
      <c r="M30" s="89"/>
      <c r="N30" s="55"/>
      <c r="O30" s="78"/>
      <c r="P30" s="78"/>
      <c r="Q30" s="79"/>
      <c r="R30" s="55"/>
    </row>
    <row r="31" spans="1:18" s="60" customFormat="1" ht="47.5" x14ac:dyDescent="1.1000000000000001">
      <c r="A31" s="54"/>
      <c r="B31" s="55"/>
      <c r="C31" s="55"/>
      <c r="D31" s="90" t="s">
        <v>20</v>
      </c>
      <c r="E31" s="91"/>
      <c r="F31" s="92"/>
      <c r="G31" s="93"/>
      <c r="H31" s="93"/>
      <c r="I31" s="94"/>
      <c r="J31" s="55"/>
      <c r="K31" s="55"/>
      <c r="L31" s="88"/>
      <c r="M31" s="55"/>
      <c r="N31" s="55"/>
      <c r="O31" s="78"/>
      <c r="P31" s="78"/>
      <c r="Q31" s="79"/>
      <c r="R31" s="55"/>
    </row>
    <row r="32" spans="1:18" ht="47.5" x14ac:dyDescent="0.7">
      <c r="P32" s="96"/>
      <c r="Q32" s="97"/>
    </row>
    <row r="33" spans="16:17" ht="47.5" x14ac:dyDescent="0.7">
      <c r="P33" s="96"/>
      <c r="Q33" s="97"/>
    </row>
  </sheetData>
  <mergeCells count="13">
    <mergeCell ref="D30:F30"/>
    <mergeCell ref="H14:H15"/>
    <mergeCell ref="I14:I15"/>
    <mergeCell ref="D16:I16"/>
    <mergeCell ref="D20:I20"/>
    <mergeCell ref="D25:F25"/>
    <mergeCell ref="D6:F6"/>
    <mergeCell ref="F10:G10"/>
    <mergeCell ref="D14:D15"/>
    <mergeCell ref="E14:E15"/>
    <mergeCell ref="F14:F15"/>
    <mergeCell ref="G14:G15"/>
    <mergeCell ref="D11:F11"/>
  </mergeCell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1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BCE5-3F69-4AC6-BB58-3A53F0985BCA}">
  <dimension ref="B2:F8"/>
  <sheetViews>
    <sheetView workbookViewId="0">
      <selection activeCell="E5" sqref="E5"/>
    </sheetView>
  </sheetViews>
  <sheetFormatPr defaultRowHeight="14.5" x14ac:dyDescent="0.35"/>
  <cols>
    <col min="2" max="2" width="16.453125" customWidth="1"/>
    <col min="3" max="3" width="45.81640625" customWidth="1"/>
    <col min="5" max="5" width="11.81640625" customWidth="1"/>
    <col min="6" max="6" width="12.54296875" customWidth="1"/>
  </cols>
  <sheetData>
    <row r="2" spans="2:6" x14ac:dyDescent="0.35">
      <c r="B2" s="104" t="s">
        <v>25</v>
      </c>
      <c r="C2" s="104" t="s">
        <v>26</v>
      </c>
      <c r="D2" s="104" t="s">
        <v>27</v>
      </c>
      <c r="E2" s="104" t="s">
        <v>28</v>
      </c>
      <c r="F2" s="104" t="s">
        <v>16</v>
      </c>
    </row>
    <row r="3" spans="2:6" x14ac:dyDescent="0.35">
      <c r="B3" s="104" t="s">
        <v>29</v>
      </c>
      <c r="C3" s="104" t="s">
        <v>30</v>
      </c>
      <c r="D3" s="104" t="s">
        <v>31</v>
      </c>
      <c r="E3" s="105">
        <v>11181.325443787</v>
      </c>
      <c r="F3" s="106">
        <f>D3*E3</f>
        <v>11181.325443787</v>
      </c>
    </row>
    <row r="4" spans="2:6" x14ac:dyDescent="0.35">
      <c r="B4" s="104" t="s">
        <v>32</v>
      </c>
      <c r="C4" s="104" t="s">
        <v>33</v>
      </c>
      <c r="D4" s="104" t="s">
        <v>31</v>
      </c>
      <c r="E4" s="105">
        <v>262.30769230769198</v>
      </c>
      <c r="F4" s="106">
        <f t="shared" ref="F4:F5" si="0">D4*E4</f>
        <v>262.30769230769198</v>
      </c>
    </row>
    <row r="5" spans="2:6" x14ac:dyDescent="0.35">
      <c r="B5" s="104" t="s">
        <v>34</v>
      </c>
      <c r="C5" s="104" t="s">
        <v>35</v>
      </c>
      <c r="D5" s="104" t="s">
        <v>31</v>
      </c>
      <c r="E5" s="105">
        <v>223.45562130177501</v>
      </c>
      <c r="F5" s="106">
        <f t="shared" si="0"/>
        <v>223.45562130177501</v>
      </c>
    </row>
    <row r="6" spans="2:6" x14ac:dyDescent="0.35">
      <c r="B6" s="138" t="s">
        <v>36</v>
      </c>
      <c r="C6" s="138"/>
      <c r="D6" s="138"/>
      <c r="E6" s="138"/>
      <c r="F6" s="105">
        <f>SUM(F3:F5)</f>
        <v>11667.088757396466</v>
      </c>
    </row>
    <row r="7" spans="2:6" x14ac:dyDescent="0.35">
      <c r="B7" s="138" t="s">
        <v>37</v>
      </c>
      <c r="C7" s="138"/>
      <c r="D7" s="138"/>
      <c r="E7" s="138"/>
      <c r="F7" s="105">
        <v>2120</v>
      </c>
    </row>
    <row r="8" spans="2:6" x14ac:dyDescent="0.35">
      <c r="B8" s="138" t="s">
        <v>16</v>
      </c>
      <c r="C8" s="138"/>
      <c r="D8" s="138"/>
      <c r="E8" s="138"/>
      <c r="F8" s="105">
        <f>F6+F7</f>
        <v>13787.088757396466</v>
      </c>
    </row>
  </sheetData>
  <mergeCells count="3">
    <mergeCell ref="B6:E6"/>
    <mergeCell ref="B7:E7"/>
    <mergeCell ref="B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68DB-5262-4B83-B0CC-F9D7B633B168}">
  <dimension ref="A2:C47"/>
  <sheetViews>
    <sheetView topLeftCell="A9" zoomScale="51" zoomScaleNormal="80" workbookViewId="0">
      <selection activeCell="F14" sqref="F14"/>
    </sheetView>
  </sheetViews>
  <sheetFormatPr defaultRowHeight="14.5" x14ac:dyDescent="0.35"/>
  <cols>
    <col min="1" max="1" width="22" customWidth="1"/>
    <col min="2" max="2" width="64.453125" customWidth="1"/>
  </cols>
  <sheetData>
    <row r="2" spans="1:3" x14ac:dyDescent="0.35">
      <c r="A2" s="107" t="s">
        <v>29</v>
      </c>
      <c r="B2" s="107" t="s">
        <v>13</v>
      </c>
      <c r="C2" s="107" t="s">
        <v>38</v>
      </c>
    </row>
    <row r="3" spans="1:3" x14ac:dyDescent="0.35">
      <c r="A3" s="108" t="s">
        <v>29</v>
      </c>
      <c r="B3" s="108" t="s">
        <v>30</v>
      </c>
      <c r="C3" s="108" t="s">
        <v>31</v>
      </c>
    </row>
    <row r="4" spans="1:3" x14ac:dyDescent="0.35">
      <c r="A4" s="109" t="s">
        <v>39</v>
      </c>
      <c r="B4" s="109" t="s">
        <v>40</v>
      </c>
      <c r="C4" s="109" t="s">
        <v>41</v>
      </c>
    </row>
    <row r="5" spans="1:3" x14ac:dyDescent="0.35">
      <c r="A5" s="110" t="s">
        <v>42</v>
      </c>
      <c r="B5" s="110" t="s">
        <v>43</v>
      </c>
      <c r="C5" s="110" t="s">
        <v>31</v>
      </c>
    </row>
    <row r="6" spans="1:3" x14ac:dyDescent="0.35">
      <c r="A6" s="110" t="s">
        <v>44</v>
      </c>
      <c r="B6" s="110" t="s">
        <v>45</v>
      </c>
      <c r="C6" s="110" t="s">
        <v>31</v>
      </c>
    </row>
    <row r="7" spans="1:3" x14ac:dyDescent="0.35">
      <c r="A7" s="110" t="s">
        <v>46</v>
      </c>
      <c r="B7" s="110" t="s">
        <v>47</v>
      </c>
      <c r="C7" s="110" t="s">
        <v>31</v>
      </c>
    </row>
    <row r="8" spans="1:3" x14ac:dyDescent="0.35">
      <c r="A8" s="110" t="s">
        <v>48</v>
      </c>
      <c r="B8" s="110" t="s">
        <v>49</v>
      </c>
      <c r="C8" s="110" t="s">
        <v>50</v>
      </c>
    </row>
    <row r="9" spans="1:3" x14ac:dyDescent="0.35">
      <c r="A9" s="110" t="s">
        <v>51</v>
      </c>
      <c r="B9" s="110" t="s">
        <v>52</v>
      </c>
      <c r="C9" s="110" t="s">
        <v>50</v>
      </c>
    </row>
    <row r="10" spans="1:3" x14ac:dyDescent="0.35">
      <c r="A10" s="110" t="s">
        <v>53</v>
      </c>
      <c r="B10" s="110" t="s">
        <v>54</v>
      </c>
      <c r="C10" s="110" t="s">
        <v>50</v>
      </c>
    </row>
    <row r="11" spans="1:3" x14ac:dyDescent="0.35">
      <c r="A11" s="110" t="s">
        <v>55</v>
      </c>
      <c r="B11" s="110" t="s">
        <v>56</v>
      </c>
      <c r="C11" s="110" t="s">
        <v>31</v>
      </c>
    </row>
    <row r="12" spans="1:3" x14ac:dyDescent="0.35">
      <c r="A12" s="110" t="s">
        <v>57</v>
      </c>
      <c r="B12" s="110" t="s">
        <v>58</v>
      </c>
      <c r="C12" s="110" t="s">
        <v>31</v>
      </c>
    </row>
    <row r="13" spans="1:3" x14ac:dyDescent="0.35">
      <c r="A13" s="110" t="s">
        <v>59</v>
      </c>
      <c r="B13" s="110" t="s">
        <v>60</v>
      </c>
      <c r="C13" s="110" t="s">
        <v>31</v>
      </c>
    </row>
    <row r="14" spans="1:3" x14ac:dyDescent="0.35">
      <c r="A14" s="110" t="s">
        <v>61</v>
      </c>
      <c r="B14" s="110" t="s">
        <v>62</v>
      </c>
      <c r="C14" s="110" t="s">
        <v>31</v>
      </c>
    </row>
    <row r="15" spans="1:3" x14ac:dyDescent="0.35">
      <c r="A15" s="110" t="s">
        <v>63</v>
      </c>
      <c r="B15" s="110" t="s">
        <v>64</v>
      </c>
      <c r="C15" s="110" t="s">
        <v>31</v>
      </c>
    </row>
    <row r="16" spans="1:3" x14ac:dyDescent="0.35">
      <c r="A16" s="110" t="s">
        <v>65</v>
      </c>
      <c r="B16" s="110" t="s">
        <v>66</v>
      </c>
      <c r="C16" s="110" t="s">
        <v>31</v>
      </c>
    </row>
    <row r="17" spans="1:3" x14ac:dyDescent="0.35">
      <c r="A17" s="110" t="s">
        <v>67</v>
      </c>
      <c r="B17" s="110" t="s">
        <v>68</v>
      </c>
      <c r="C17" s="110" t="s">
        <v>50</v>
      </c>
    </row>
    <row r="18" spans="1:3" x14ac:dyDescent="0.35">
      <c r="A18" s="110" t="s">
        <v>69</v>
      </c>
      <c r="B18" s="110" t="s">
        <v>70</v>
      </c>
      <c r="C18" s="110" t="s">
        <v>50</v>
      </c>
    </row>
    <row r="19" spans="1:3" x14ac:dyDescent="0.35">
      <c r="A19" s="110" t="s">
        <v>71</v>
      </c>
      <c r="B19" s="110" t="s">
        <v>72</v>
      </c>
      <c r="C19" s="110" t="s">
        <v>73</v>
      </c>
    </row>
    <row r="20" spans="1:3" x14ac:dyDescent="0.35">
      <c r="A20" s="110" t="s">
        <v>74</v>
      </c>
      <c r="B20" s="110" t="s">
        <v>75</v>
      </c>
      <c r="C20" s="110" t="s">
        <v>31</v>
      </c>
    </row>
    <row r="21" spans="1:3" x14ac:dyDescent="0.35">
      <c r="A21" s="110" t="s">
        <v>76</v>
      </c>
      <c r="B21" s="110" t="s">
        <v>77</v>
      </c>
      <c r="C21" s="110" t="s">
        <v>31</v>
      </c>
    </row>
    <row r="22" spans="1:3" x14ac:dyDescent="0.35">
      <c r="A22" s="110" t="s">
        <v>78</v>
      </c>
      <c r="B22" s="110" t="s">
        <v>79</v>
      </c>
      <c r="C22" s="110" t="s">
        <v>31</v>
      </c>
    </row>
    <row r="23" spans="1:3" x14ac:dyDescent="0.35">
      <c r="A23" s="110" t="s">
        <v>80</v>
      </c>
      <c r="B23" s="110" t="s">
        <v>81</v>
      </c>
      <c r="C23" s="110" t="s">
        <v>31</v>
      </c>
    </row>
    <row r="24" spans="1:3" x14ac:dyDescent="0.35">
      <c r="A24" s="110" t="s">
        <v>82</v>
      </c>
      <c r="B24" s="110" t="s">
        <v>83</v>
      </c>
      <c r="C24" s="110" t="s">
        <v>31</v>
      </c>
    </row>
    <row r="25" spans="1:3" x14ac:dyDescent="0.35">
      <c r="A25" s="110" t="s">
        <v>84</v>
      </c>
      <c r="B25" s="110" t="s">
        <v>85</v>
      </c>
      <c r="C25" s="110" t="s">
        <v>31</v>
      </c>
    </row>
    <row r="26" spans="1:3" x14ac:dyDescent="0.35">
      <c r="A26" s="110" t="s">
        <v>86</v>
      </c>
      <c r="B26" s="110" t="s">
        <v>87</v>
      </c>
      <c r="C26" s="110" t="s">
        <v>31</v>
      </c>
    </row>
    <row r="27" spans="1:3" x14ac:dyDescent="0.35">
      <c r="A27" s="110" t="s">
        <v>88</v>
      </c>
      <c r="B27" s="110" t="s">
        <v>89</v>
      </c>
      <c r="C27" s="110" t="s">
        <v>90</v>
      </c>
    </row>
    <row r="28" spans="1:3" x14ac:dyDescent="0.35">
      <c r="A28" s="110" t="s">
        <v>91</v>
      </c>
      <c r="B28" s="110" t="s">
        <v>92</v>
      </c>
      <c r="C28" s="110" t="s">
        <v>50</v>
      </c>
    </row>
    <row r="29" spans="1:3" x14ac:dyDescent="0.35">
      <c r="A29" s="110" t="s">
        <v>93</v>
      </c>
      <c r="B29" s="110" t="s">
        <v>94</v>
      </c>
      <c r="C29" s="110" t="s">
        <v>31</v>
      </c>
    </row>
    <row r="30" spans="1:3" x14ac:dyDescent="0.35">
      <c r="A30" s="110" t="s">
        <v>95</v>
      </c>
      <c r="B30" s="110" t="s">
        <v>96</v>
      </c>
      <c r="C30" s="110" t="s">
        <v>50</v>
      </c>
    </row>
    <row r="31" spans="1:3" x14ac:dyDescent="0.35">
      <c r="A31" s="110" t="s">
        <v>97</v>
      </c>
      <c r="B31" s="110" t="s">
        <v>98</v>
      </c>
      <c r="C31" s="110" t="s">
        <v>31</v>
      </c>
    </row>
    <row r="32" spans="1:3" x14ac:dyDescent="0.35">
      <c r="A32" s="110" t="s">
        <v>99</v>
      </c>
      <c r="B32" s="110" t="s">
        <v>100</v>
      </c>
      <c r="C32" s="110" t="s">
        <v>31</v>
      </c>
    </row>
    <row r="33" spans="1:3" x14ac:dyDescent="0.35">
      <c r="A33" s="110" t="s">
        <v>101</v>
      </c>
      <c r="B33" s="110" t="s">
        <v>102</v>
      </c>
      <c r="C33" s="110" t="s">
        <v>50</v>
      </c>
    </row>
    <row r="34" spans="1:3" x14ac:dyDescent="0.35">
      <c r="A34" s="110" t="s">
        <v>103</v>
      </c>
      <c r="B34" s="110" t="s">
        <v>104</v>
      </c>
      <c r="C34" s="110" t="s">
        <v>31</v>
      </c>
    </row>
    <row r="35" spans="1:3" x14ac:dyDescent="0.35">
      <c r="A35" s="110" t="s">
        <v>105</v>
      </c>
      <c r="B35" s="110" t="s">
        <v>106</v>
      </c>
      <c r="C35" s="110" t="s">
        <v>31</v>
      </c>
    </row>
    <row r="36" spans="1:3" x14ac:dyDescent="0.35">
      <c r="A36" s="110" t="s">
        <v>107</v>
      </c>
      <c r="B36" s="110" t="s">
        <v>108</v>
      </c>
      <c r="C36" s="110" t="s">
        <v>50</v>
      </c>
    </row>
    <row r="37" spans="1:3" x14ac:dyDescent="0.35">
      <c r="A37" s="110" t="s">
        <v>109</v>
      </c>
      <c r="B37" s="110" t="s">
        <v>110</v>
      </c>
      <c r="C37" s="110" t="s">
        <v>50</v>
      </c>
    </row>
    <row r="38" spans="1:3" x14ac:dyDescent="0.35">
      <c r="A38" s="110" t="s">
        <v>111</v>
      </c>
      <c r="B38" s="110" t="s">
        <v>112</v>
      </c>
      <c r="C38" s="110" t="s">
        <v>31</v>
      </c>
    </row>
    <row r="39" spans="1:3" x14ac:dyDescent="0.35">
      <c r="A39" s="110" t="s">
        <v>113</v>
      </c>
      <c r="B39" s="110" t="s">
        <v>114</v>
      </c>
      <c r="C39" s="110" t="s">
        <v>31</v>
      </c>
    </row>
    <row r="40" spans="1:3" x14ac:dyDescent="0.35">
      <c r="A40" s="110" t="s">
        <v>115</v>
      </c>
      <c r="B40" s="110" t="s">
        <v>116</v>
      </c>
      <c r="C40" s="110" t="s">
        <v>31</v>
      </c>
    </row>
    <row r="41" spans="1:3" x14ac:dyDescent="0.35">
      <c r="A41" s="108" t="s">
        <v>32</v>
      </c>
      <c r="B41" s="108" t="s">
        <v>33</v>
      </c>
      <c r="C41" s="108" t="s">
        <v>31</v>
      </c>
    </row>
    <row r="42" spans="1:3" x14ac:dyDescent="0.35">
      <c r="A42" s="109" t="s">
        <v>39</v>
      </c>
      <c r="B42" s="109" t="s">
        <v>40</v>
      </c>
      <c r="C42" s="109" t="s">
        <v>41</v>
      </c>
    </row>
    <row r="43" spans="1:3" x14ac:dyDescent="0.35">
      <c r="A43" s="110" t="s">
        <v>117</v>
      </c>
      <c r="B43" s="110" t="s">
        <v>118</v>
      </c>
      <c r="C43" s="110" t="s">
        <v>31</v>
      </c>
    </row>
    <row r="44" spans="1:3" x14ac:dyDescent="0.35">
      <c r="A44" s="108" t="s">
        <v>119</v>
      </c>
      <c r="B44" s="108" t="s">
        <v>120</v>
      </c>
      <c r="C44" s="108" t="s">
        <v>31</v>
      </c>
    </row>
    <row r="45" spans="1:3" x14ac:dyDescent="0.35">
      <c r="A45" s="108" t="s">
        <v>34</v>
      </c>
      <c r="B45" s="108" t="s">
        <v>35</v>
      </c>
      <c r="C45" s="108" t="s">
        <v>31</v>
      </c>
    </row>
    <row r="46" spans="1:3" x14ac:dyDescent="0.35">
      <c r="A46" s="109" t="s">
        <v>39</v>
      </c>
      <c r="B46" s="109" t="s">
        <v>40</v>
      </c>
      <c r="C46" s="109" t="s">
        <v>41</v>
      </c>
    </row>
    <row r="47" spans="1:3" x14ac:dyDescent="0.35">
      <c r="A47" s="110" t="s">
        <v>121</v>
      </c>
      <c r="B47" s="110" t="s">
        <v>122</v>
      </c>
      <c r="C47" s="1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Quote (4)</vt:lpstr>
      <vt:lpstr>Sheet1</vt:lpstr>
      <vt:lpstr>Quote (3)</vt:lpstr>
      <vt:lpstr>Pricing </vt:lpstr>
      <vt:lpstr>BOM</vt:lpstr>
      <vt:lpstr>'Quote (3)'!Print_Area</vt:lpstr>
      <vt:lpstr>'Quote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David</dc:creator>
  <cp:lastModifiedBy>Erick Matondo</cp:lastModifiedBy>
  <dcterms:created xsi:type="dcterms:W3CDTF">2026-03-26T07:20:38Z</dcterms:created>
  <dcterms:modified xsi:type="dcterms:W3CDTF">2026-05-07T07:08:34Z</dcterms:modified>
</cp:coreProperties>
</file>