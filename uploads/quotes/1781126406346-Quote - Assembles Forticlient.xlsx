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Quotes\2026\March\Assembles\"/>
    </mc:Choice>
  </mc:AlternateContent>
  <xr:revisionPtr revIDLastSave="0" documentId="13_ncr:1_{3CD2DA6B-E407-46DB-9850-439581551346}" xr6:coauthVersionLast="47" xr6:coauthVersionMax="47" xr10:uidLastSave="{00000000-0000-0000-0000-000000000000}"/>
  <bookViews>
    <workbookView xWindow="-110" yWindow="-110" windowWidth="19420" windowHeight="11500" xr2:uid="{FEA27088-D0D0-47A6-B269-A6AE23E53A3C}"/>
  </bookViews>
  <sheets>
    <sheet name="Quote" sheetId="1" r:id="rId1"/>
    <sheet name="Redington Price" sheetId="3" r:id="rId2"/>
    <sheet name="Quote (2)" sheetId="7" r:id="rId3"/>
    <sheet name="Sheet1" sheetId="8" r:id="rId4"/>
  </sheets>
  <externalReferences>
    <externalReference r:id="rId5"/>
    <externalReference r:id="rId6"/>
    <externalReference r:id="rId7"/>
    <externalReference r:id="rId8"/>
  </externalReferences>
  <definedNames>
    <definedName name="__IntlFixup" hidden="1">TRUE</definedName>
    <definedName name="_OB300">[1]PriceGuide!#REF!</definedName>
    <definedName name="_sup1">[1]PriceGuide!#REF!</definedName>
    <definedName name="_sup2">[1]PriceGuide!#REF!</definedName>
    <definedName name="acctrate">[1]PriceGuide!#REF!</definedName>
    <definedName name="ageing">[1]PriceGuide!$A:$O</definedName>
    <definedName name="BRS_FLOOR_ANALYSIS_LINES_TO_FORMAT0">[2]Sheet1!#REF!</definedName>
    <definedName name="BRS_FLOOR_ANALYSIS_LINES_TO_FORMAT1">[2]Sheet1!#REF!</definedName>
    <definedName name="BRS_FLOOR_ANALYSIS_SECTION">[2]Sheet1!#REF!</definedName>
    <definedName name="calc1">[1]PriceGuide!$1:$1048576</definedName>
    <definedName name="COST">[1]PriceGuide!$H:$H</definedName>
    <definedName name="_xlnm.Criteria">[1]PriceGuide!#REF!</definedName>
    <definedName name="CSI_LINE_PS">[2]Sheet1!#REF!</definedName>
    <definedName name="CSI_SECTION_PS_ALL">[2]Sheet1!#REF!</definedName>
    <definedName name="CSI_SECTION_PS_BOT">[2]Sheet1!#REF!</definedName>
    <definedName name="CSI_SECTION_PS_TOP">[2]Sheet1!#REF!</definedName>
    <definedName name="CSI_SUBTOTAL_PS">[2]Sheet1!#REF!</definedName>
    <definedName name="CURRENCY_CODE">#REF!</definedName>
    <definedName name="Data">[1]PriceGuide!$B$2:$I$571</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8">#REF!</definedName>
    <definedName name="data9">#REF!</definedName>
    <definedName name="_xlnm.Database">[1]PriceGuide!#REF!</definedName>
    <definedName name="DDisc">[1]PriceGuide!$N:$N</definedName>
    <definedName name="DEALDISC">[1]PriceGuide!#REF!</definedName>
    <definedName name="DEALER">#REF!</definedName>
    <definedName name="DEXCL">[1]PriceGuide!$K:$K</definedName>
    <definedName name="Display_Area_2">#REF!</definedName>
    <definedName name="DUTY">[1]PriceGuide!#REF!</definedName>
    <definedName name="EXPCOST">[1]PriceGuide!#REF!</definedName>
    <definedName name="_xlnm.Extract">[1]PriceGuide!#REF!</definedName>
    <definedName name="GoAssetChart" localSheetId="2">'Quote (2)'!GoAssetChart</definedName>
    <definedName name="GoAssetChart" localSheetId="3">'Quote (2)'!GoAssetChart</definedName>
    <definedName name="GoAssetChart">[0]!GoAssetChart</definedName>
    <definedName name="GoBack" localSheetId="2">'Quote (2)'!GoBack</definedName>
    <definedName name="GoBack" localSheetId="3">'Quote (2)'!GoBack</definedName>
    <definedName name="GoBack">[0]!GoBack</definedName>
    <definedName name="GoBalanceSheet" localSheetId="2">'Quote (2)'!GoBalanceSheet</definedName>
    <definedName name="GoBalanceSheet" localSheetId="3">'Quote (2)'!GoBalanceSheet</definedName>
    <definedName name="GoBalanceSheet">[0]!GoBalanceSheet</definedName>
    <definedName name="GoCashFlow" localSheetId="2">'Quote (2)'!GoCashFlow</definedName>
    <definedName name="GoCashFlow" localSheetId="3">'Quote (2)'!GoCashFlow</definedName>
    <definedName name="GoCashFlow">[0]!GoCashFlow</definedName>
    <definedName name="GoData" localSheetId="2">'Quote (2)'!GoData</definedName>
    <definedName name="GoData" localSheetId="3">'Quote (2)'!GoData</definedName>
    <definedName name="GoData">[0]!GoData</definedName>
    <definedName name="GoIncomeChart" localSheetId="2">'Quote (2)'!GoIncomeChart</definedName>
    <definedName name="GoIncomeChart" localSheetId="3">'Quote (2)'!GoIncomeChart</definedName>
    <definedName name="GoIncomeChart">[0]!GoIncomeChart</definedName>
    <definedName name="Hiperdist_Alliances_SA" localSheetId="0">#REF!</definedName>
    <definedName name="Hiperdist_Alliances_SA" localSheetId="2">#REF!</definedName>
    <definedName name="Hiperdist_Alliances_SA">#REF!</definedName>
    <definedName name="HUBS">[1]PriceGuide!#REF!</definedName>
    <definedName name="INFOSTORE">[1]PriceGuide!$1:$1048576</definedName>
    <definedName name="Interdist_Alliances_UK" localSheetId="0">#REF!</definedName>
    <definedName name="Interdist_Alliances_UK" localSheetId="2">#REF!</definedName>
    <definedName name="Interdist_Alliances_UK">#REF!</definedName>
    <definedName name="LAN">[1]PriceGuide!#REF!</definedName>
    <definedName name="LAN_ADAPTERS">[1]PriceGuide!#REF!</definedName>
    <definedName name="LCPEX">[1]PriceGuide!#REF!</definedName>
    <definedName name="LCPIN">[1]PriceGuide!#REF!</definedName>
    <definedName name="List">[1]PriceGuide!$1:$1048576</definedName>
    <definedName name="LOGO" localSheetId="0">INDIRECT(#REF!)</definedName>
    <definedName name="LOGO" localSheetId="2">INDIRECT(#REF!)</definedName>
    <definedName name="LOGO">INDIRECT([3]PFI!$J$5)</definedName>
    <definedName name="MARKUP">[1]PriceGuide!$I:$I</definedName>
    <definedName name="MASS">[1]PriceGuide!#REF!</definedName>
    <definedName name="MASSTOR">[1]PriceGuide!#REF!</definedName>
    <definedName name="MISC_LINE_HW">[2]Sheet1!#REF!</definedName>
    <definedName name="MISC_LINE_SW">[2]Sheet1!#REF!</definedName>
    <definedName name="MISC_SECTION_HW_ALL">[2]Sheet1!#REF!</definedName>
    <definedName name="MISC_SECTION_HW_BOT">[2]Sheet1!#REF!</definedName>
    <definedName name="MISC_SECTION_HW_TOP">[2]Sheet1!#REF!</definedName>
    <definedName name="MISC_SECTION_SW_ALL">[2]Sheet1!#REF!</definedName>
    <definedName name="MISC_SECTION_SW_BOT">[2]Sheet1!#REF!</definedName>
    <definedName name="MISC_SECTION_SW_TOP">[2]Sheet1!#REF!</definedName>
    <definedName name="MISC_SUBTOTAL_HW">[2]Sheet1!#REF!</definedName>
    <definedName name="MISC_SUBTOTAL_SW">[2]Sheet1!#REF!</definedName>
    <definedName name="modem">[1]PriceGuide!#REF!</definedName>
    <definedName name="MONITORS">[1]PriceGuide!#REF!</definedName>
    <definedName name="MXM">[1]PriceGuide!#REF!</definedName>
    <definedName name="Nada" localSheetId="2">'Quote (2)'!Nada</definedName>
    <definedName name="Nada" localSheetId="3">'Quote (2)'!Nada</definedName>
    <definedName name="Nada">[0]!Nada</definedName>
    <definedName name="NETSERV">[1]PriceGuide!#REF!</definedName>
    <definedName name="NO">#REF!</definedName>
    <definedName name="NSERIES">[1]PriceGuide!#REF!</definedName>
    <definedName name="NUMBER9">[1]PriceGuide!#REF!</definedName>
    <definedName name="OPENVIEW">[1]PriceGuide!#REF!</definedName>
    <definedName name="PLCALC">[1]PriceGuide!$A:$GH</definedName>
    <definedName name="plist">[1]PriceGuide!#REF!</definedName>
    <definedName name="PRECONTRACT_FLD_CFG_NAME">[2]Sheet1!#REF!</definedName>
    <definedName name="PRECONTRACT_FLD_CSI_DESCIPTION">[2]Sheet1!#REF!</definedName>
    <definedName name="PRECONTRACT_FLD_CSI_NAME">[2]Sheet1!#REF!</definedName>
    <definedName name="PRECONTRACT_LINE">[2]Sheet1!#REF!</definedName>
    <definedName name="PRECONTRACT_SECTION">[2]Sheet1!#REF!</definedName>
    <definedName name="PRECONTRACT_SECTION_CFG_TITLE">[2]Sheet1!#REF!</definedName>
    <definedName name="PRECONTRACT_SECTION_CSI">[2]Sheet1!#REF!</definedName>
    <definedName name="_xlnm.Print_Area" localSheetId="0">Quote!$C$1:$I$29</definedName>
    <definedName name="_xlnm.Print_Area" localSheetId="2">'Quote (2)'!$C$1:$I$29</definedName>
    <definedName name="PROMO_SECTION">[2]Sheet1!#REF!</definedName>
    <definedName name="QUOTE_CURRENCY">#REF!</definedName>
    <definedName name="remote">[1]PriceGuide!#REF!</definedName>
    <definedName name="REPORT_LINES_TO_FORMAT">#REF!</definedName>
    <definedName name="REPORT_TOTALS_TO_FORMAT">#REF!</definedName>
    <definedName name="REPORT_TOTALS_TO_FORMAT4">[2]Sheet1!#REF!</definedName>
    <definedName name="REPORT_TOTALS_TO_FORMAT5">[2]Sheet1!#REF!</definedName>
    <definedName name="retail">#REF!</definedName>
    <definedName name="RRP">[1]PriceGuide!#REF!</definedName>
    <definedName name="rrpexcl">[1]PriceGuide!#REF!</definedName>
    <definedName name="SAGP">[1]PriceGuide!$L:$L</definedName>
    <definedName name="SDDINCL">[1]PriceGuide!#REF!</definedName>
    <definedName name="sddperc">[1]PriceGuide!#REF!</definedName>
    <definedName name="server">[1]PriceGuide!$1:$1048576</definedName>
    <definedName name="SOFTWARE">[1]PriceGuide!#REF!</definedName>
    <definedName name="SPPL">[1]PriceGuide!$A:$E</definedName>
    <definedName name="storage">[1]PriceGuide!$1:$1048576</definedName>
    <definedName name="TARSUS">[1]PriceGuide!$1:$1048576</definedName>
    <definedName name="TOT">#REF!</definedName>
    <definedName name="TRADEIN_SECTION">[2]Sheet1!#REF!</definedName>
    <definedName name="TRADEIN_SECTION_TOTAL">[2]Sheet1!#REF!</definedName>
    <definedName name="VAD_discount">#N/A</definedName>
    <definedName name="VAR_discount">#N/A</definedName>
    <definedName name="vatsa">[1]PriceGuide!$AC$2</definedName>
    <definedName name="VL">[1]PriceGuide!#REF!</definedName>
    <definedName name="vol">[1]PriceGuide!$R:$R</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7" l="1"/>
  <c r="I17" i="7"/>
  <c r="I19" i="7" s="1"/>
  <c r="P17" i="7"/>
  <c r="P19" i="7" s="1"/>
  <c r="Q19" i="7" l="1"/>
  <c r="P20" i="7"/>
  <c r="P21" i="7"/>
  <c r="I20" i="7"/>
  <c r="L20" i="7"/>
  <c r="M20" i="7" s="1"/>
  <c r="I21" i="7"/>
  <c r="G16" i="3"/>
  <c r="C20" i="3" s="1"/>
  <c r="G12" i="3"/>
  <c r="H4" i="3"/>
  <c r="H3" i="3"/>
  <c r="H17" i="1"/>
  <c r="I17" i="1" s="1"/>
  <c r="C21" i="3" l="1"/>
  <c r="C22" i="3" s="1"/>
  <c r="P17" i="1" l="1"/>
  <c r="P19" i="1" s="1"/>
  <c r="I19" i="1"/>
  <c r="I20" i="1" l="1"/>
  <c r="I21" i="1"/>
  <c r="Q19" i="1"/>
  <c r="L20" i="1" s="1"/>
  <c r="M20" i="1" s="1"/>
  <c r="P20" i="1"/>
  <c r="P21" i="1" s="1"/>
</calcChain>
</file>

<file path=xl/sharedStrings.xml><?xml version="1.0" encoding="utf-8"?>
<sst xmlns="http://schemas.openxmlformats.org/spreadsheetml/2006/main" count="149" uniqueCount="95">
  <si>
    <t>Dolphin Professional Services Limited,</t>
  </si>
  <si>
    <t>Gate No.5, Mango Street,</t>
  </si>
  <si>
    <t>Near Makumbusho Bus Terminal,</t>
  </si>
  <si>
    <t>P.O. Box 31422,</t>
  </si>
  <si>
    <t>Dar-Es-Salaam, Tanzania.</t>
  </si>
  <si>
    <t>Telephone: +255 763 527 670</t>
  </si>
  <si>
    <t xml:space="preserve">Email: sales@dolphin.co.tz </t>
  </si>
  <si>
    <t xml:space="preserve"> Website : www.dolphin.co.tz</t>
  </si>
  <si>
    <t>TIN : 139-505-301</t>
  </si>
  <si>
    <t>PROFORMA INVOICE</t>
  </si>
  <si>
    <t>VAT: 40-036725-X</t>
  </si>
  <si>
    <t xml:space="preserve"> </t>
  </si>
  <si>
    <t>Exchange rate</t>
  </si>
  <si>
    <t>SN</t>
  </si>
  <si>
    <t>PART NUMBER</t>
  </si>
  <si>
    <t>DESCRIPTION</t>
  </si>
  <si>
    <t>QTY</t>
  </si>
  <si>
    <t>UNIT PRICE</t>
  </si>
  <si>
    <t>TOTAL PRICE</t>
  </si>
  <si>
    <t>Margin</t>
  </si>
  <si>
    <t xml:space="preserve">UNIT PRICE </t>
  </si>
  <si>
    <t>Vat</t>
  </si>
  <si>
    <t>SUBTOTAL</t>
  </si>
  <si>
    <t>Subtotal</t>
  </si>
  <si>
    <t>VAT(18%)</t>
  </si>
  <si>
    <t>GP</t>
  </si>
  <si>
    <t>Vat(18%)</t>
  </si>
  <si>
    <t>TOTAL</t>
  </si>
  <si>
    <t>Total</t>
  </si>
  <si>
    <t>QUOTE VALIDITY : 30 Days</t>
  </si>
  <si>
    <t>PAYMENT TERMS : 100% Upfront</t>
  </si>
  <si>
    <t>LPO Required for Order Confirmation</t>
  </si>
  <si>
    <t>Sales Department</t>
  </si>
  <si>
    <t>Dolphin Professional Services Limited</t>
  </si>
  <si>
    <t>FCTEMS8822006902</t>
  </si>
  <si>
    <t>Firmware &amp; General Updates Enhanced Support Premium Telephone Support Premium FortiClient ZTNA &amp; CASB (devices) FortiClient ZTNA, EPP &amp; CASB (devices)</t>
  </si>
  <si>
    <t>Company: Assembles Insurance</t>
  </si>
  <si>
    <t>Ref: DPSL/ASSI/2026/03/26</t>
  </si>
  <si>
    <r>
      <t>Date: 26</t>
    </r>
    <r>
      <rPr>
        <b/>
        <vertAlign val="superscript"/>
        <sz val="36"/>
        <color theme="1"/>
        <rFont val="Aptos Narrow"/>
        <family val="2"/>
        <scheme val="minor"/>
      </rPr>
      <t>th</t>
    </r>
    <r>
      <rPr>
        <b/>
        <sz val="36"/>
        <color theme="1"/>
        <rFont val="Aptos Narrow"/>
        <family val="2"/>
        <scheme val="minor"/>
      </rPr>
      <t xml:space="preserve"> March 2026</t>
    </r>
  </si>
  <si>
    <t>DELIVERY TIMEFRAME: 3-5 Working days</t>
  </si>
  <si>
    <t>For smooth order processing please adhere to below; LPO should clearly mention; Part Number/SKU, Description, Payment terms, Sign &amp; stamp the LPO or mention it does not require sign &amp; stamp. Complete end customer details need to be shared along with the LPO.</t>
  </si>
  <si>
    <t>Quotation</t>
  </si>
  <si>
    <t>Ref</t>
  </si>
  <si>
    <t>Date</t>
  </si>
  <si>
    <t>Quote To:</t>
  </si>
  <si>
    <t>DPSL</t>
  </si>
  <si>
    <t>Project</t>
  </si>
  <si>
    <t>Project Ref:</t>
  </si>
  <si>
    <t>ASSEMBLE INSURANCE</t>
  </si>
  <si>
    <t>SN#</t>
  </si>
  <si>
    <t>Serial No</t>
  </si>
  <si>
    <t>SKU</t>
  </si>
  <si>
    <t>Description</t>
  </si>
  <si>
    <t>Qty</t>
  </si>
  <si>
    <t>Unit Price-$</t>
  </si>
  <si>
    <t>Total TP-$</t>
  </si>
  <si>
    <t>QUOTE ID:7260755-1</t>
  </si>
  <si>
    <t>START DATE: 2026-03-25        END DATE:2027-03-26</t>
  </si>
  <si>
    <t>COTERM                                               Devices:125</t>
  </si>
  <si>
    <t>Total Price-Hardware</t>
  </si>
  <si>
    <t>DDP TRADE UP</t>
  </si>
  <si>
    <t>Total Price-Support</t>
  </si>
  <si>
    <t>VAT @ 18%</t>
  </si>
  <si>
    <t>GRAND TOTAL</t>
  </si>
  <si>
    <t>Terms and Conditions</t>
  </si>
  <si>
    <t>For Redington Kenya Ltd</t>
  </si>
  <si>
    <t>Validity</t>
  </si>
  <si>
    <t>Above price quoted are valid for 30days from Quote date</t>
  </si>
  <si>
    <t>Joyce Kinyanjui</t>
  </si>
  <si>
    <t>Currency:</t>
  </si>
  <si>
    <t>All prices are in US Dollars.</t>
  </si>
  <si>
    <t>Payment:</t>
  </si>
  <si>
    <t>LC as per mutually agreed T&amp;Cs./Std. payment terms</t>
  </si>
  <si>
    <t>Inside Sales Executive</t>
  </si>
  <si>
    <t xml:space="preserve">Shipment Terms: </t>
  </si>
  <si>
    <t>Ex-DAR</t>
  </si>
  <si>
    <t>Joyce.Kinyanjui@redingtongroup.com</t>
  </si>
  <si>
    <t>Delivery period:</t>
  </si>
  <si>
    <t>3-5 Days</t>
  </si>
  <si>
    <t>+ 254 738 999 987</t>
  </si>
  <si>
    <t>Warranty &amp; Support:</t>
  </si>
  <si>
    <t>Standard warranty &amp; support as per the Manufacturer.</t>
  </si>
  <si>
    <t>Bank Details:</t>
  </si>
  <si>
    <t>To be advised in Proforma Invoice. Please request if required.</t>
  </si>
  <si>
    <t>Customer Details:</t>
  </si>
  <si>
    <t>Customer details to be shared when placing the order</t>
  </si>
  <si>
    <t>Hardware Activation</t>
  </si>
  <si>
    <t xml:space="preserve">** For all new units shipped from 1st December 2015, Fortinet will activate hardware warranty, support and service for all at the EARLIER of the following two events (This will not  affect the renewal process):
 * When customer is registering the unit
 * When the unit goes online and requests update
* If these 2 events do not occur within 100 days of the shipping date from Fortinet the hardware, service and support will be auto-activated 100 Days from Fortinet Shipment to the Distributor   </t>
  </si>
  <si>
    <t>Renewal Activation</t>
  </si>
  <si>
    <t xml:space="preserve">** Fortinet requires continuous coverage for subscription services. The start date of your renewal has been set to comply with this policy.  
 * The start date of the purchased renewal contract will be as mentioned at 'Start Date' in the quote.
 ** By using this quote upon purchase, Fortinet will auto-register the renewal contract(s) on the provided serial number(s).
</t>
  </si>
  <si>
    <t>Firmware &amp; General Updates Enhanced Support Premium Telephone Support Premium FortiClient ZTNA &amp; CASB (devices) FortiClient ZTNA, EPP &amp; CASB (devices) - 1 Year</t>
  </si>
  <si>
    <t>HP 1.2TB 12G 10K SAS SFF SC DS HDD</t>
  </si>
  <si>
    <t>872737-001</t>
  </si>
  <si>
    <t>Ref: DPSL/ASSI/2026/03/30</t>
  </si>
  <si>
    <r>
      <t>Date: 30</t>
    </r>
    <r>
      <rPr>
        <b/>
        <vertAlign val="superscript"/>
        <sz val="36"/>
        <color theme="1"/>
        <rFont val="Aptos Narrow"/>
        <family val="2"/>
        <scheme val="minor"/>
      </rPr>
      <t>th</t>
    </r>
    <r>
      <rPr>
        <b/>
        <sz val="36"/>
        <color theme="1"/>
        <rFont val="Aptos Narrow"/>
        <family val="2"/>
        <scheme val="minor"/>
      </rPr>
      <t xml:space="preserve"> March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</si>
</sst>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quot;TSh&quot;* #,##0.00_-;\-&quot;TSh&quot;* #,##0.00_-;_-&quot;TSh&quot;* &quot;-&quot;??_-;_-@_-"/>
    <numFmt numFmtId="165" formatCode="&quot;$&quot;#,##0.00;[Red]&quot;$&quot;#,##0.00"/>
    <numFmt numFmtId="166" formatCode="_(&quot;$&quot;* #,##0.00_);_(&quot;$&quot;* \(#,##0.00\);_(&quot;$&quot;* &quot;-&quot;??_);_(@_)"/>
    <numFmt numFmtId="167" formatCode="_([$TZS]\ * #,##0.00_);_([$TZS]\ * \(#,##0.00\);_([$TZS]\ * &quot;-&quot;??_);_(@_)"/>
    <numFmt numFmtId="168" formatCode="_-[$$-409]* #,##0.00_ ;_-[$$-409]* \-#,##0.00\ ;_-[$$-409]* &quot;-&quot;??_ ;_-@_ "/>
    <numFmt numFmtId="169" formatCode="[$$-409]#,##0.00;[Red][$$-409]#,##0.00"/>
    <numFmt numFmtId="170" formatCode="_(* #,##0.00_);_(* \(#,##0.00\);_(* &quot;-&quot;??_);_(@_)"/>
    <numFmt numFmtId="171" formatCode="_(&quot;$&quot;* #,##0_);_(&quot;$&quot;* \(#,##0\);_(&quot;$&quot;* &quot;-&quot;??_);_(@_)"/>
    <numFmt numFmtId="172" formatCode="_-[$$-409]* #,##0.00_ ;_-[$$-409]* \-#,##0.00\ ;_-[$$-409]* &quot;-&quot;_ ;_-@_ "/>
    <numFmt numFmtId="173" formatCode="_-[$$-409]* #,##0_ ;_-[$$-409]* \-#,##0\ ;_-[$$-409]* &quot;-&quot;_ ;_-@_ "/>
    <numFmt numFmtId="174" formatCode="_([$$-409]* #,##0_);_([$$-409]* \(#,##0\);_([$$-409]* &quot;-&quot;??_);_(@_)"/>
    <numFmt numFmtId="175" formatCode="_([$$-409]* #,##0.00_);_([$$-409]* \(#,##0.00\);_([$$-409]* &quot;-&quot;??_);_(@_)"/>
  </numFmts>
  <fonts count="50" x14ac:knownFonts="1">
    <font>
      <sz val="11"/>
      <color theme="1"/>
      <name val="Aptos Narrow"/>
      <family val="2"/>
      <scheme val="minor"/>
    </font>
    <font>
      <sz val="11"/>
      <color theme="1"/>
      <name val="Aptos Narrow"/>
      <family val="2"/>
      <scheme val="minor"/>
    </font>
    <font>
      <u/>
      <sz val="11"/>
      <color theme="10"/>
      <name val="Aptos Narrow"/>
      <family val="2"/>
      <scheme val="minor"/>
    </font>
    <font>
      <sz val="24"/>
      <color theme="1"/>
      <name val="Aptos Narrow"/>
      <family val="2"/>
      <scheme val="minor"/>
    </font>
    <font>
      <b/>
      <sz val="36"/>
      <color theme="1"/>
      <name val="Aptos Narrow"/>
      <family val="2"/>
      <scheme val="minor"/>
    </font>
    <font>
      <sz val="24"/>
      <color indexed="8"/>
      <name val="Aptos Narrow"/>
      <family val="2"/>
      <scheme val="minor"/>
    </font>
    <font>
      <b/>
      <sz val="24"/>
      <color theme="1"/>
      <name val="Aptos Narrow"/>
      <family val="2"/>
      <scheme val="minor"/>
    </font>
    <font>
      <b/>
      <i/>
      <sz val="28"/>
      <color rgb="FF00B0F0"/>
      <name val="Aptos Narrow"/>
      <family val="2"/>
      <scheme val="minor"/>
    </font>
    <font>
      <b/>
      <i/>
      <sz val="24"/>
      <color rgb="FF00B0F0"/>
      <name val="Aptos Narrow"/>
      <family val="2"/>
      <scheme val="minor"/>
    </font>
    <font>
      <sz val="28"/>
      <color theme="1"/>
      <name val="Aptos Narrow"/>
      <family val="2"/>
      <scheme val="minor"/>
    </font>
    <font>
      <sz val="28"/>
      <color indexed="8"/>
      <name val="Aptos Narrow"/>
      <family val="2"/>
      <scheme val="minor"/>
    </font>
    <font>
      <b/>
      <sz val="28"/>
      <color theme="1"/>
      <name val="Aptos Narrow"/>
      <family val="2"/>
      <scheme val="minor"/>
    </font>
    <font>
      <b/>
      <i/>
      <sz val="48"/>
      <color rgb="FF00B0F0"/>
      <name val="Aptos Narrow"/>
      <family val="2"/>
      <scheme val="minor"/>
    </font>
    <font>
      <b/>
      <vertAlign val="superscript"/>
      <sz val="36"/>
      <color theme="1"/>
      <name val="Aptos Narrow"/>
      <family val="2"/>
      <scheme val="minor"/>
    </font>
    <font>
      <sz val="36"/>
      <color theme="1"/>
      <name val="Aptos Narrow"/>
      <family val="2"/>
      <scheme val="minor"/>
    </font>
    <font>
      <sz val="36"/>
      <color indexed="8"/>
      <name val="Aptos Narrow"/>
      <family val="2"/>
      <scheme val="minor"/>
    </font>
    <font>
      <b/>
      <sz val="36"/>
      <color indexed="8"/>
      <name val="Aptos Narrow"/>
      <family val="2"/>
      <scheme val="minor"/>
    </font>
    <font>
      <b/>
      <sz val="22"/>
      <color theme="1"/>
      <name val="Arial"/>
      <family val="2"/>
    </font>
    <font>
      <sz val="20"/>
      <color theme="1"/>
      <name val="Aptos Narrow"/>
      <family val="2"/>
      <scheme val="minor"/>
    </font>
    <font>
      <b/>
      <sz val="36"/>
      <color theme="0"/>
      <name val="Aptos Narrow"/>
      <family val="2"/>
      <scheme val="minor"/>
    </font>
    <font>
      <b/>
      <sz val="20"/>
      <color theme="1"/>
      <name val="Aptos Narrow"/>
      <family val="2"/>
      <scheme val="minor"/>
    </font>
    <font>
      <b/>
      <sz val="20"/>
      <color theme="0"/>
      <name val="Aptos Narrow"/>
      <family val="2"/>
      <scheme val="minor"/>
    </font>
    <font>
      <sz val="20"/>
      <name val="Aptos Narrow"/>
      <family val="2"/>
      <scheme val="minor"/>
    </font>
    <font>
      <b/>
      <sz val="36"/>
      <name val="Aptos Narrow"/>
      <family val="2"/>
      <scheme val="minor"/>
    </font>
    <font>
      <sz val="36"/>
      <name val="Aptos Narrow"/>
      <family val="2"/>
      <scheme val="minor"/>
    </font>
    <font>
      <sz val="22"/>
      <name val="Aptos Narrow"/>
      <family val="2"/>
      <scheme val="minor"/>
    </font>
    <font>
      <b/>
      <sz val="36"/>
      <color rgb="FF0070C0"/>
      <name val="Aptos Narrow"/>
      <family val="2"/>
      <scheme val="minor"/>
    </font>
    <font>
      <b/>
      <sz val="22"/>
      <color rgb="FF002060"/>
      <name val="Aptos Narrow"/>
      <family val="2"/>
      <scheme val="minor"/>
    </font>
    <font>
      <b/>
      <sz val="28"/>
      <color rgb="FF002060"/>
      <name val="Aptos Narrow"/>
      <family val="2"/>
      <scheme val="minor"/>
    </font>
    <font>
      <b/>
      <sz val="20"/>
      <name val="Aptos Narrow"/>
      <family val="2"/>
      <scheme val="minor"/>
    </font>
    <font>
      <b/>
      <i/>
      <sz val="36"/>
      <color rgb="FF00B0F0"/>
      <name val="Aptos Narrow"/>
      <family val="2"/>
      <scheme val="minor"/>
    </font>
    <font>
      <b/>
      <sz val="26"/>
      <color theme="1"/>
      <name val="Aptos Narrow"/>
      <family val="2"/>
      <scheme val="minor"/>
    </font>
    <font>
      <sz val="22"/>
      <color theme="1"/>
      <name val="Aptos Narrow"/>
      <family val="2"/>
      <scheme val="minor"/>
    </font>
    <font>
      <sz val="11"/>
      <name val="Aptos Narrow"/>
      <family val="2"/>
    </font>
    <font>
      <sz val="11"/>
      <color theme="1"/>
      <name val="Aptos Narrow"/>
      <family val="2"/>
    </font>
    <font>
      <b/>
      <sz val="11"/>
      <color theme="1"/>
      <name val="Aptos Narrow"/>
      <family val="2"/>
    </font>
    <font>
      <b/>
      <i/>
      <sz val="11"/>
      <color theme="1"/>
      <name val="Aptos Narrow"/>
      <family val="2"/>
    </font>
    <font>
      <b/>
      <sz val="11"/>
      <color indexed="8"/>
      <name val="Aptos Narrow"/>
      <family val="2"/>
    </font>
    <font>
      <b/>
      <sz val="11"/>
      <name val="Aptos Narrow"/>
      <family val="2"/>
    </font>
    <font>
      <sz val="10"/>
      <name val="Arial"/>
      <family val="2"/>
    </font>
    <font>
      <b/>
      <sz val="11"/>
      <color rgb="FFFF0000"/>
      <name val="Aptos Narrow"/>
      <family val="2"/>
    </font>
    <font>
      <b/>
      <sz val="11"/>
      <color rgb="FF242424"/>
      <name val="Aptos Narrow"/>
      <family val="2"/>
    </font>
    <font>
      <sz val="11"/>
      <color rgb="FF000000"/>
      <name val="Aptos Narrow"/>
      <family val="2"/>
    </font>
    <font>
      <sz val="11"/>
      <color theme="0"/>
      <name val="Aptos Narrow"/>
      <family val="2"/>
    </font>
    <font>
      <b/>
      <sz val="11"/>
      <color theme="0"/>
      <name val="Aptos Narrow"/>
      <family val="2"/>
    </font>
    <font>
      <i/>
      <sz val="11"/>
      <color theme="1"/>
      <name val="Aptos Narrow"/>
      <family val="2"/>
    </font>
    <font>
      <u/>
      <sz val="11"/>
      <color theme="10"/>
      <name val="Calibri"/>
      <family val="2"/>
    </font>
    <font>
      <u/>
      <sz val="11"/>
      <color theme="10"/>
      <name val="Aptos Narrow"/>
      <family val="2"/>
    </font>
    <font>
      <i/>
      <u/>
      <sz val="11"/>
      <color theme="10"/>
      <name val="Aptos Narrow"/>
      <family val="2"/>
    </font>
    <font>
      <i/>
      <sz val="11"/>
      <name val="Aptos Narrow"/>
      <family val="2"/>
    </font>
  </fonts>
  <fills count="13">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rgb="FF0070C0"/>
        <bgColor indexed="64"/>
      </patternFill>
    </fill>
    <fill>
      <patternFill patternType="solid">
        <fgColor rgb="FF006600"/>
        <bgColor indexed="64"/>
      </patternFill>
    </fill>
    <fill>
      <patternFill patternType="solid">
        <fgColor rgb="FFFFFF00"/>
        <bgColor indexed="64"/>
      </patternFill>
    </fill>
    <fill>
      <patternFill patternType="solid">
        <fgColor theme="0"/>
        <bgColor indexed="64"/>
      </patternFill>
    </fill>
    <fill>
      <patternFill patternType="solid">
        <fgColor theme="3" tint="0.749992370372631"/>
        <bgColor indexed="64"/>
      </patternFill>
    </fill>
    <fill>
      <patternFill patternType="solid">
        <fgColor theme="9" tint="0.39997558519241921"/>
        <bgColor indexed="64"/>
      </patternFill>
    </fill>
    <fill>
      <patternFill patternType="solid">
        <fgColor rgb="FFFFC000"/>
        <bgColor indexed="64"/>
      </patternFill>
    </fill>
    <fill>
      <patternFill patternType="solid">
        <fgColor rgb="FF00B0F0"/>
        <bgColor indexed="64"/>
      </patternFill>
    </fill>
    <fill>
      <patternFill patternType="solid">
        <fgColor theme="8" tint="0.59999389629810485"/>
        <bgColor indexed="64"/>
      </patternFill>
    </fill>
  </fills>
  <borders count="42">
    <border>
      <left/>
      <right/>
      <top/>
      <bottom/>
      <diagonal/>
    </border>
    <border>
      <left style="medium">
        <color indexed="64"/>
      </left>
      <right/>
      <top style="medium">
        <color indexed="64"/>
      </top>
      <bottom/>
      <diagonal/>
    </border>
    <border>
      <left/>
      <right/>
      <top style="medium">
        <color indexed="64"/>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medium">
        <color indexed="64"/>
      </left>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hair">
        <color indexed="64"/>
      </right>
      <top/>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9">
    <xf numFmtId="0" fontId="0" fillId="0" borderId="0"/>
    <xf numFmtId="164" fontId="1" fillId="0" borderId="0" applyFont="0" applyFill="0" applyBorder="0" applyAlignment="0" applyProtection="0"/>
    <xf numFmtId="0" fontId="1" fillId="0" borderId="0"/>
    <xf numFmtId="166" fontId="1" fillId="0" borderId="0" applyFont="0" applyFill="0" applyBorder="0" applyAlignment="0" applyProtection="0"/>
    <xf numFmtId="0" fontId="2" fillId="0" borderId="0" applyNumberFormat="0" applyFill="0" applyBorder="0" applyAlignment="0" applyProtection="0"/>
    <xf numFmtId="170" fontId="1" fillId="0" borderId="0" applyFont="0" applyFill="0" applyBorder="0" applyAlignment="0" applyProtection="0"/>
    <xf numFmtId="9" fontId="1" fillId="0" borderId="0" applyFont="0" applyFill="0" applyBorder="0" applyAlignment="0" applyProtection="0"/>
    <xf numFmtId="168" fontId="39" fillId="0" borderId="0"/>
    <xf numFmtId="0" fontId="46" fillId="0" borderId="0" applyNumberFormat="0" applyFill="0" applyBorder="0" applyAlignment="0" applyProtection="0">
      <alignment vertical="top"/>
      <protection locked="0"/>
    </xf>
  </cellStyleXfs>
  <cellXfs count="227">
    <xf numFmtId="0" fontId="0" fillId="0" borderId="0" xfId="0"/>
    <xf numFmtId="0" fontId="3" fillId="0" borderId="1" xfId="2" applyFont="1" applyBorder="1" applyAlignment="1">
      <alignment vertical="center"/>
    </xf>
    <xf numFmtId="0" fontId="3" fillId="0" borderId="2" xfId="2" applyFont="1" applyBorder="1" applyAlignment="1">
      <alignment vertical="center"/>
    </xf>
    <xf numFmtId="0" fontId="3" fillId="0" borderId="3" xfId="2" applyFont="1" applyBorder="1" applyAlignment="1">
      <alignment vertical="center"/>
    </xf>
    <xf numFmtId="0" fontId="3" fillId="0" borderId="4" xfId="2" applyFont="1" applyBorder="1" applyAlignment="1">
      <alignment vertical="center"/>
    </xf>
    <xf numFmtId="0" fontId="4" fillId="0" borderId="4" xfId="2" applyFont="1" applyBorder="1" applyAlignment="1">
      <alignment horizontal="left" vertical="center"/>
    </xf>
    <xf numFmtId="0" fontId="3" fillId="0" borderId="5" xfId="2" applyFont="1" applyBorder="1" applyAlignment="1">
      <alignment horizontal="left" vertical="center"/>
    </xf>
    <xf numFmtId="0" fontId="3" fillId="0" borderId="0" xfId="2" applyFont="1" applyAlignment="1">
      <alignment vertical="center"/>
    </xf>
    <xf numFmtId="165" fontId="3" fillId="0" borderId="0" xfId="2" applyNumberFormat="1" applyFont="1" applyAlignment="1">
      <alignment horizontal="center" vertical="center"/>
    </xf>
    <xf numFmtId="166" fontId="3" fillId="0" borderId="0" xfId="3" applyFont="1" applyAlignment="1">
      <alignment vertical="center"/>
    </xf>
    <xf numFmtId="0" fontId="3" fillId="0" borderId="6" xfId="2" applyFont="1" applyBorder="1" applyAlignment="1">
      <alignment vertical="center"/>
    </xf>
    <xf numFmtId="0" fontId="5" fillId="0" borderId="7" xfId="2" applyFont="1" applyBorder="1" applyAlignment="1">
      <alignment vertical="center"/>
    </xf>
    <xf numFmtId="0" fontId="5" fillId="0" borderId="0" xfId="2" applyFont="1" applyAlignment="1">
      <alignment vertical="center"/>
    </xf>
    <xf numFmtId="0" fontId="4" fillId="0" borderId="0" xfId="2" applyFont="1" applyAlignment="1">
      <alignment horizontal="left" vertical="center"/>
    </xf>
    <xf numFmtId="0" fontId="3" fillId="0" borderId="8" xfId="2" applyFont="1" applyBorder="1" applyAlignment="1">
      <alignment horizontal="left" vertical="center"/>
    </xf>
    <xf numFmtId="0" fontId="6" fillId="0" borderId="8" xfId="2" applyFont="1" applyBorder="1" applyAlignment="1">
      <alignment horizontal="left" vertical="center"/>
    </xf>
    <xf numFmtId="165" fontId="3" fillId="2" borderId="0" xfId="2" applyNumberFormat="1" applyFont="1" applyFill="1" applyAlignment="1">
      <alignment horizontal="center" vertical="center"/>
    </xf>
    <xf numFmtId="0" fontId="3" fillId="2" borderId="0" xfId="2" applyFont="1" applyFill="1" applyAlignment="1">
      <alignment vertical="center"/>
    </xf>
    <xf numFmtId="0" fontId="8" fillId="0" borderId="0" xfId="2" applyFont="1" applyAlignment="1">
      <alignment horizontal="center" vertical="center" wrapText="1"/>
    </xf>
    <xf numFmtId="0" fontId="9" fillId="0" borderId="6" xfId="2" applyFont="1" applyBorder="1" applyAlignment="1">
      <alignment vertical="center"/>
    </xf>
    <xf numFmtId="0" fontId="9" fillId="0" borderId="0" xfId="2" applyFont="1" applyAlignment="1">
      <alignment vertical="center"/>
    </xf>
    <xf numFmtId="0" fontId="10" fillId="0" borderId="7" xfId="2" applyFont="1" applyBorder="1" applyAlignment="1">
      <alignment vertical="center"/>
    </xf>
    <xf numFmtId="0" fontId="10" fillId="0" borderId="0" xfId="2" applyFont="1" applyAlignment="1">
      <alignment vertical="center"/>
    </xf>
    <xf numFmtId="0" fontId="4" fillId="0" borderId="0" xfId="4" applyFont="1" applyBorder="1" applyAlignment="1">
      <alignment horizontal="left" vertical="center"/>
    </xf>
    <xf numFmtId="0" fontId="11" fillId="0" borderId="8" xfId="2" applyFont="1" applyBorder="1" applyAlignment="1">
      <alignment horizontal="left" vertical="center"/>
    </xf>
    <xf numFmtId="165" fontId="9" fillId="2" borderId="0" xfId="2" applyNumberFormat="1" applyFont="1" applyFill="1" applyAlignment="1">
      <alignment horizontal="center" vertical="center"/>
    </xf>
    <xf numFmtId="0" fontId="9" fillId="2" borderId="0" xfId="2" applyFont="1" applyFill="1" applyAlignment="1">
      <alignment vertical="center"/>
    </xf>
    <xf numFmtId="166" fontId="9" fillId="0" borderId="0" xfId="3" applyFont="1" applyAlignment="1">
      <alignment vertical="center"/>
    </xf>
    <xf numFmtId="0" fontId="3" fillId="0" borderId="0" xfId="2" applyFont="1" applyAlignment="1">
      <alignment horizontal="left" vertical="center"/>
    </xf>
    <xf numFmtId="167" fontId="3" fillId="2" borderId="0" xfId="2" applyNumberFormat="1" applyFont="1" applyFill="1" applyAlignment="1">
      <alignment vertical="center"/>
    </xf>
    <xf numFmtId="0" fontId="4" fillId="0" borderId="7" xfId="2" applyFont="1" applyBorder="1" applyAlignment="1">
      <alignment vertical="center"/>
    </xf>
    <xf numFmtId="0" fontId="4" fillId="0" borderId="0" xfId="2" applyFont="1" applyAlignment="1">
      <alignment vertical="center"/>
    </xf>
    <xf numFmtId="168" fontId="4" fillId="0" borderId="0" xfId="2" applyNumberFormat="1" applyFont="1" applyAlignment="1">
      <alignment horizontal="left" vertical="center"/>
    </xf>
    <xf numFmtId="0" fontId="14" fillId="0" borderId="8" xfId="2" applyFont="1" applyBorder="1" applyAlignment="1">
      <alignment horizontal="left" vertical="center"/>
    </xf>
    <xf numFmtId="164" fontId="3" fillId="0" borderId="0" xfId="2" applyNumberFormat="1" applyFont="1" applyAlignment="1">
      <alignment vertical="center"/>
    </xf>
    <xf numFmtId="167" fontId="3" fillId="0" borderId="0" xfId="2" applyNumberFormat="1" applyFont="1" applyAlignment="1">
      <alignment vertical="center"/>
    </xf>
    <xf numFmtId="168" fontId="15" fillId="0" borderId="0" xfId="2" applyNumberFormat="1" applyFont="1" applyAlignment="1">
      <alignment horizontal="left" vertical="center"/>
    </xf>
    <xf numFmtId="0" fontId="14" fillId="0" borderId="8" xfId="2" applyFont="1" applyBorder="1" applyAlignment="1">
      <alignment vertical="center"/>
    </xf>
    <xf numFmtId="0" fontId="16" fillId="0" borderId="7" xfId="2" applyFont="1" applyBorder="1" applyAlignment="1">
      <alignment vertical="center"/>
    </xf>
    <xf numFmtId="0" fontId="16" fillId="0" borderId="0" xfId="2" applyFont="1" applyAlignment="1">
      <alignment vertical="center"/>
    </xf>
    <xf numFmtId="168" fontId="16" fillId="0" borderId="0" xfId="2" applyNumberFormat="1" applyFont="1" applyAlignment="1">
      <alignment horizontal="center" vertical="center"/>
    </xf>
    <xf numFmtId="168" fontId="16" fillId="0" borderId="0" xfId="2" applyNumberFormat="1" applyFont="1" applyAlignment="1">
      <alignment horizontal="left" vertical="center"/>
    </xf>
    <xf numFmtId="0" fontId="14" fillId="0" borderId="0" xfId="2" applyFont="1" applyAlignment="1">
      <alignment vertical="center"/>
    </xf>
    <xf numFmtId="0" fontId="17" fillId="0" borderId="0" xfId="2" applyFont="1" applyAlignment="1">
      <alignment vertical="center"/>
    </xf>
    <xf numFmtId="0" fontId="17" fillId="3" borderId="0" xfId="2" applyFont="1" applyFill="1" applyAlignment="1">
      <alignment horizontal="left" vertical="center"/>
    </xf>
    <xf numFmtId="0" fontId="18" fillId="0" borderId="0" xfId="2" applyFont="1" applyAlignment="1">
      <alignment vertical="center"/>
    </xf>
    <xf numFmtId="165" fontId="18" fillId="0" borderId="0" xfId="2" applyNumberFormat="1" applyFont="1" applyAlignment="1">
      <alignment horizontal="center" vertical="center"/>
    </xf>
    <xf numFmtId="0" fontId="9" fillId="0" borderId="9" xfId="2" applyFont="1" applyBorder="1" applyAlignment="1">
      <alignment vertical="center"/>
    </xf>
    <xf numFmtId="169" fontId="17" fillId="3" borderId="0" xfId="2" applyNumberFormat="1" applyFont="1" applyFill="1" applyAlignment="1">
      <alignment horizontal="center" vertical="center"/>
    </xf>
    <xf numFmtId="2" fontId="17" fillId="3" borderId="0" xfId="2" applyNumberFormat="1" applyFont="1" applyFill="1" applyAlignment="1">
      <alignment horizontal="left" vertical="center"/>
    </xf>
    <xf numFmtId="0" fontId="20" fillId="3" borderId="0" xfId="2" applyFont="1" applyFill="1" applyAlignment="1">
      <alignment horizontal="left" vertical="center"/>
    </xf>
    <xf numFmtId="169" fontId="21" fillId="5" borderId="9" xfId="2" applyNumberFormat="1" applyFont="1" applyFill="1" applyBorder="1" applyAlignment="1">
      <alignment horizontal="center" vertical="center" wrapText="1"/>
    </xf>
    <xf numFmtId="166" fontId="3" fillId="0" borderId="0" xfId="3" applyFont="1" applyBorder="1" applyAlignment="1">
      <alignment vertical="center"/>
    </xf>
    <xf numFmtId="170" fontId="9" fillId="0" borderId="0" xfId="5" applyFont="1" applyBorder="1" applyAlignment="1">
      <alignment vertical="center"/>
    </xf>
    <xf numFmtId="0" fontId="9" fillId="6" borderId="0" xfId="2" applyFont="1" applyFill="1" applyAlignment="1">
      <alignment vertical="center"/>
    </xf>
    <xf numFmtId="9" fontId="17" fillId="3" borderId="0" xfId="2" applyNumberFormat="1" applyFont="1" applyFill="1" applyAlignment="1">
      <alignment horizontal="left" vertical="center"/>
    </xf>
    <xf numFmtId="169" fontId="20" fillId="0" borderId="0" xfId="2" applyNumberFormat="1" applyFont="1" applyAlignment="1">
      <alignment horizontal="center" vertical="center"/>
    </xf>
    <xf numFmtId="164" fontId="22" fillId="7" borderId="9" xfId="3" applyNumberFormat="1" applyFont="1" applyFill="1" applyBorder="1" applyAlignment="1">
      <alignment horizontal="center" vertical="center" wrapText="1"/>
    </xf>
    <xf numFmtId="167" fontId="22" fillId="7" borderId="9" xfId="3" applyNumberFormat="1" applyFont="1" applyFill="1" applyBorder="1" applyAlignment="1">
      <alignment horizontal="center" vertical="center" wrapText="1"/>
    </xf>
    <xf numFmtId="1" fontId="23" fillId="0" borderId="9" xfId="2" applyNumberFormat="1" applyFont="1" applyBorder="1" applyAlignment="1">
      <alignment horizontal="center" vertical="center" wrapText="1"/>
    </xf>
    <xf numFmtId="164" fontId="24" fillId="0" borderId="9" xfId="1" applyFont="1" applyBorder="1" applyAlignment="1">
      <alignment vertical="center" wrapText="1"/>
    </xf>
    <xf numFmtId="168" fontId="24" fillId="0" borderId="9" xfId="2" applyNumberFormat="1" applyFont="1" applyBorder="1" applyAlignment="1">
      <alignment vertical="center" wrapText="1"/>
    </xf>
    <xf numFmtId="0" fontId="3" fillId="0" borderId="6" xfId="2" applyFont="1" applyBorder="1"/>
    <xf numFmtId="0" fontId="3" fillId="0" borderId="0" xfId="2" applyFont="1"/>
    <xf numFmtId="166" fontId="18" fillId="0" borderId="0" xfId="2" applyNumberFormat="1" applyFont="1"/>
    <xf numFmtId="0" fontId="18" fillId="0" borderId="0" xfId="2" applyFont="1"/>
    <xf numFmtId="166" fontId="22" fillId="0" borderId="9" xfId="3" applyFont="1" applyFill="1" applyBorder="1" applyAlignment="1">
      <alignment horizontal="left" vertical="center"/>
    </xf>
    <xf numFmtId="168" fontId="25" fillId="0" borderId="9" xfId="2" applyNumberFormat="1" applyFont="1" applyBorder="1" applyAlignment="1">
      <alignment vertical="center" wrapText="1"/>
    </xf>
    <xf numFmtId="166" fontId="3" fillId="0" borderId="0" xfId="3" applyFont="1"/>
    <xf numFmtId="0" fontId="14" fillId="0" borderId="7" xfId="2" applyFont="1" applyBorder="1"/>
    <xf numFmtId="0" fontId="14" fillId="0" borderId="0" xfId="2" applyFont="1"/>
    <xf numFmtId="0" fontId="26" fillId="0" borderId="16" xfId="2" applyFont="1" applyBorder="1" applyAlignment="1">
      <alignment horizontal="center"/>
    </xf>
    <xf numFmtId="164" fontId="26" fillId="0" borderId="9" xfId="1" applyFont="1" applyFill="1" applyBorder="1"/>
    <xf numFmtId="168" fontId="6" fillId="0" borderId="0" xfId="2" applyNumberFormat="1" applyFont="1"/>
    <xf numFmtId="165" fontId="27" fillId="0" borderId="9" xfId="2" applyNumberFormat="1" applyFont="1" applyBorder="1" applyAlignment="1">
      <alignment horizontal="center"/>
    </xf>
    <xf numFmtId="168" fontId="28" fillId="0" borderId="9" xfId="2" applyNumberFormat="1" applyFont="1" applyBorder="1" applyAlignment="1">
      <alignment vertical="center" wrapText="1"/>
    </xf>
    <xf numFmtId="164" fontId="6" fillId="0" borderId="0" xfId="1" applyFont="1"/>
    <xf numFmtId="0" fontId="26" fillId="0" borderId="9" xfId="2" applyFont="1" applyBorder="1" applyAlignment="1">
      <alignment horizontal="center"/>
    </xf>
    <xf numFmtId="0" fontId="6" fillId="0" borderId="0" xfId="2" applyFont="1" applyAlignment="1">
      <alignment horizontal="center" vertical="center"/>
    </xf>
    <xf numFmtId="164" fontId="29" fillId="7" borderId="0" xfId="1" applyFont="1" applyFill="1" applyBorder="1" applyAlignment="1">
      <alignment horizontal="center" vertical="center" wrapText="1"/>
    </xf>
    <xf numFmtId="9" fontId="20" fillId="0" borderId="0" xfId="6" applyFont="1" applyFill="1" applyAlignment="1">
      <alignment vertical="center"/>
    </xf>
    <xf numFmtId="165" fontId="27" fillId="4" borderId="9" xfId="2" applyNumberFormat="1" applyFont="1" applyFill="1" applyBorder="1" applyAlignment="1">
      <alignment horizontal="center"/>
    </xf>
    <xf numFmtId="167" fontId="18" fillId="0" borderId="0" xfId="2" applyNumberFormat="1" applyFont="1"/>
    <xf numFmtId="0" fontId="14" fillId="0" borderId="8" xfId="2" applyFont="1" applyBorder="1"/>
    <xf numFmtId="167" fontId="3" fillId="0" borderId="0" xfId="2" applyNumberFormat="1" applyFont="1"/>
    <xf numFmtId="165" fontId="3" fillId="0" borderId="0" xfId="2" applyNumberFormat="1" applyFont="1" applyAlignment="1">
      <alignment horizontal="center"/>
    </xf>
    <xf numFmtId="168" fontId="3" fillId="0" borderId="0" xfId="2" applyNumberFormat="1" applyFont="1"/>
    <xf numFmtId="168" fontId="22" fillId="7" borderId="0" xfId="3" applyNumberFormat="1" applyFont="1" applyFill="1" applyBorder="1" applyAlignment="1">
      <alignment horizontal="center" vertical="center" wrapText="1"/>
    </xf>
    <xf numFmtId="166" fontId="3" fillId="0" borderId="0" xfId="3" applyFont="1" applyBorder="1"/>
    <xf numFmtId="0" fontId="14" fillId="0" borderId="7" xfId="2" applyFont="1" applyBorder="1" applyAlignment="1">
      <alignment horizontal="left" vertical="center"/>
    </xf>
    <xf numFmtId="0" fontId="14" fillId="0" borderId="0" xfId="2" applyFont="1" applyAlignment="1">
      <alignment horizontal="left" vertical="center"/>
    </xf>
    <xf numFmtId="0" fontId="14" fillId="0" borderId="0" xfId="2" applyFont="1" applyAlignment="1">
      <alignment horizontal="left" vertical="center" wrapText="1"/>
    </xf>
    <xf numFmtId="164" fontId="17" fillId="3" borderId="0" xfId="2" applyNumberFormat="1" applyFont="1" applyFill="1" applyAlignment="1">
      <alignment horizontal="center" vertical="center"/>
    </xf>
    <xf numFmtId="164" fontId="3" fillId="0" borderId="0" xfId="2" applyNumberFormat="1" applyFont="1"/>
    <xf numFmtId="0" fontId="14" fillId="0" borderId="7" xfId="2" applyFont="1" applyBorder="1" applyAlignment="1">
      <alignment vertical="center"/>
    </xf>
    <xf numFmtId="168" fontId="14" fillId="0" borderId="0" xfId="2" applyNumberFormat="1" applyFont="1" applyAlignment="1">
      <alignment vertical="center"/>
    </xf>
    <xf numFmtId="0" fontId="4" fillId="0" borderId="7" xfId="2" applyFont="1" applyBorder="1" applyAlignment="1">
      <alignment horizontal="left" vertical="center"/>
    </xf>
    <xf numFmtId="164" fontId="6" fillId="0" borderId="0" xfId="2" applyNumberFormat="1" applyFont="1"/>
    <xf numFmtId="0" fontId="31" fillId="0" borderId="0" xfId="2" applyFont="1"/>
    <xf numFmtId="0" fontId="30" fillId="0" borderId="11" xfId="2" applyFont="1" applyBorder="1" applyAlignment="1">
      <alignment vertical="center"/>
    </xf>
    <xf numFmtId="0" fontId="30" fillId="0" borderId="12" xfId="2" applyFont="1" applyBorder="1" applyAlignment="1">
      <alignment vertical="center"/>
    </xf>
    <xf numFmtId="166" fontId="3" fillId="0" borderId="12" xfId="3" applyFont="1" applyBorder="1"/>
    <xf numFmtId="0" fontId="14" fillId="0" borderId="12" xfId="2" applyFont="1" applyBorder="1"/>
    <xf numFmtId="0" fontId="14" fillId="0" borderId="17" xfId="2" applyFont="1" applyBorder="1"/>
    <xf numFmtId="0" fontId="32" fillId="0" borderId="0" xfId="2" applyFont="1"/>
    <xf numFmtId="168" fontId="29" fillId="7" borderId="0" xfId="3" applyNumberFormat="1" applyFont="1" applyFill="1" applyBorder="1" applyAlignment="1">
      <alignment horizontal="center" vertical="center" wrapText="1"/>
    </xf>
    <xf numFmtId="164" fontId="24" fillId="0" borderId="0" xfId="2" applyNumberFormat="1" applyFont="1" applyAlignment="1">
      <alignment horizontal="center" vertical="center" wrapText="1"/>
    </xf>
    <xf numFmtId="0" fontId="14" fillId="0" borderId="9" xfId="0" applyFont="1" applyBorder="1" applyAlignment="1">
      <alignment horizontal="center" wrapText="1"/>
    </xf>
    <xf numFmtId="0" fontId="4" fillId="0" borderId="9" xfId="0" applyFont="1" applyBorder="1" applyAlignment="1">
      <alignment horizontal="center" vertical="center"/>
    </xf>
    <xf numFmtId="0" fontId="14" fillId="0" borderId="9" xfId="0" applyFont="1" applyBorder="1" applyAlignment="1">
      <alignment horizontal="center" vertical="center"/>
    </xf>
    <xf numFmtId="168" fontId="33" fillId="0" borderId="9" xfId="3" applyNumberFormat="1" applyFont="1" applyFill="1" applyBorder="1" applyAlignment="1">
      <alignment horizontal="center" vertical="center" wrapText="1"/>
    </xf>
    <xf numFmtId="0" fontId="34" fillId="7" borderId="0" xfId="0" applyFont="1" applyFill="1" applyAlignment="1">
      <alignment vertical="center"/>
    </xf>
    <xf numFmtId="0" fontId="34" fillId="7" borderId="0" xfId="0" applyFont="1" applyFill="1" applyAlignment="1">
      <alignment horizontal="center" vertical="center"/>
    </xf>
    <xf numFmtId="0" fontId="34" fillId="7" borderId="0" xfId="0" applyFont="1" applyFill="1" applyAlignment="1">
      <alignment horizontal="center" vertical="center" wrapText="1"/>
    </xf>
    <xf numFmtId="170" fontId="34" fillId="0" borderId="21" xfId="5" applyFont="1" applyBorder="1" applyAlignment="1">
      <alignment horizontal="left" vertical="center"/>
    </xf>
    <xf numFmtId="170" fontId="34" fillId="0" borderId="21" xfId="5" applyFont="1" applyBorder="1" applyAlignment="1">
      <alignment horizontal="left" vertical="center" wrapText="1"/>
    </xf>
    <xf numFmtId="170" fontId="34" fillId="0" borderId="22" xfId="5" applyFont="1" applyBorder="1" applyAlignment="1">
      <alignment horizontal="left" vertical="center"/>
    </xf>
    <xf numFmtId="14" fontId="34" fillId="0" borderId="21" xfId="5" applyNumberFormat="1" applyFont="1" applyBorder="1" applyAlignment="1">
      <alignment horizontal="left" vertical="center" wrapText="1"/>
    </xf>
    <xf numFmtId="0" fontId="34" fillId="7" borderId="9" xfId="0" applyFont="1" applyFill="1" applyBorder="1" applyAlignment="1">
      <alignment horizontal="center" vertical="center" wrapText="1"/>
    </xf>
    <xf numFmtId="170" fontId="34" fillId="0" borderId="9" xfId="5" applyFont="1" applyBorder="1" applyAlignment="1">
      <alignment horizontal="left" vertical="center"/>
    </xf>
    <xf numFmtId="170" fontId="34" fillId="0" borderId="9" xfId="5" applyFont="1" applyBorder="1" applyAlignment="1">
      <alignment horizontal="left" vertical="center" wrapText="1"/>
    </xf>
    <xf numFmtId="0" fontId="34" fillId="7" borderId="9" xfId="0" applyFont="1" applyFill="1" applyBorder="1" applyAlignment="1">
      <alignment horizontal="center" vertical="center"/>
    </xf>
    <xf numFmtId="170" fontId="34" fillId="7" borderId="9" xfId="5" applyFont="1" applyFill="1" applyBorder="1" applyAlignment="1">
      <alignment horizontal="right" vertical="center"/>
    </xf>
    <xf numFmtId="0" fontId="34" fillId="7" borderId="9" xfId="0" applyFont="1" applyFill="1" applyBorder="1" applyAlignment="1">
      <alignment vertical="center"/>
    </xf>
    <xf numFmtId="170" fontId="34" fillId="7" borderId="9" xfId="5" applyFont="1" applyFill="1" applyBorder="1" applyAlignment="1">
      <alignment horizontal="left" vertical="center"/>
    </xf>
    <xf numFmtId="0" fontId="34" fillId="0" borderId="0" xfId="0" applyFont="1" applyAlignment="1">
      <alignment horizontal="center" vertical="center" wrapText="1"/>
    </xf>
    <xf numFmtId="170" fontId="34" fillId="7" borderId="0" xfId="5" applyFont="1" applyFill="1" applyBorder="1" applyAlignment="1">
      <alignment horizontal="right" vertical="center"/>
    </xf>
    <xf numFmtId="0" fontId="37" fillId="3" borderId="9" xfId="0" applyFont="1" applyFill="1" applyBorder="1" applyAlignment="1">
      <alignment horizontal="center" vertical="center" wrapText="1"/>
    </xf>
    <xf numFmtId="0" fontId="38" fillId="3" borderId="9" xfId="0" applyFont="1" applyFill="1" applyBorder="1" applyAlignment="1">
      <alignment horizontal="center" vertical="center" wrapText="1"/>
    </xf>
    <xf numFmtId="171" fontId="38" fillId="3" borderId="9" xfId="3" applyNumberFormat="1" applyFont="1" applyFill="1" applyBorder="1" applyAlignment="1">
      <alignment horizontal="center" vertical="center" wrapText="1"/>
    </xf>
    <xf numFmtId="168" fontId="38" fillId="3" borderId="9" xfId="7" applyFont="1" applyFill="1" applyBorder="1" applyAlignment="1">
      <alignment horizontal="center" vertical="center" wrapText="1"/>
    </xf>
    <xf numFmtId="0" fontId="35" fillId="0" borderId="9" xfId="0" applyFont="1" applyBorder="1" applyAlignment="1">
      <alignment horizontal="center" vertical="center" wrapText="1"/>
    </xf>
    <xf numFmtId="0" fontId="35" fillId="0" borderId="9" xfId="0" applyFont="1" applyBorder="1" applyAlignment="1">
      <alignment horizontal="center" wrapText="1"/>
    </xf>
    <xf numFmtId="0" fontId="34" fillId="0" borderId="9" xfId="0" applyFont="1" applyBorder="1"/>
    <xf numFmtId="171" fontId="38" fillId="0" borderId="9" xfId="3" applyNumberFormat="1" applyFont="1" applyFill="1" applyBorder="1" applyAlignment="1">
      <alignment horizontal="center" vertical="center" wrapText="1"/>
    </xf>
    <xf numFmtId="171" fontId="35" fillId="0" borderId="9" xfId="3" applyNumberFormat="1" applyFont="1" applyFill="1" applyBorder="1" applyAlignment="1">
      <alignment horizontal="center" vertical="center" wrapText="1"/>
    </xf>
    <xf numFmtId="168" fontId="35" fillId="0" borderId="3" xfId="7" applyFont="1" applyBorder="1" applyAlignment="1">
      <alignment horizontal="center" vertical="center" wrapText="1"/>
    </xf>
    <xf numFmtId="168" fontId="35" fillId="0" borderId="10" xfId="7" applyFont="1" applyBorder="1" applyAlignment="1">
      <alignment horizontal="center" vertical="center" wrapText="1"/>
    </xf>
    <xf numFmtId="0" fontId="34" fillId="0" borderId="0" xfId="0" applyFont="1" applyAlignment="1">
      <alignment vertical="center"/>
    </xf>
    <xf numFmtId="168" fontId="40" fillId="0" borderId="10" xfId="7" applyFont="1" applyBorder="1" applyAlignment="1">
      <alignment horizontal="center" vertical="center" wrapText="1"/>
    </xf>
    <xf numFmtId="0" fontId="34" fillId="0" borderId="9" xfId="0" applyFont="1" applyBorder="1" applyAlignment="1">
      <alignment horizontal="center" vertical="center" wrapText="1"/>
    </xf>
    <xf numFmtId="0" fontId="34" fillId="0" borderId="9" xfId="0" applyFont="1" applyBorder="1" applyAlignment="1">
      <alignment horizontal="left" vertical="center" wrapText="1"/>
    </xf>
    <xf numFmtId="0" fontId="34" fillId="0" borderId="9" xfId="0" applyFont="1" applyBorder="1" applyAlignment="1">
      <alignment horizontal="center" vertical="center"/>
    </xf>
    <xf numFmtId="171" fontId="34" fillId="0" borderId="9" xfId="3" applyNumberFormat="1" applyFont="1" applyFill="1" applyBorder="1" applyAlignment="1">
      <alignment horizontal="center" vertical="center" wrapText="1"/>
    </xf>
    <xf numFmtId="0" fontId="41" fillId="0" borderId="9" xfId="0" applyFont="1" applyBorder="1" applyAlignment="1">
      <alignment vertical="center"/>
    </xf>
    <xf numFmtId="0" fontId="42" fillId="0" borderId="9" xfId="0" applyFont="1" applyBorder="1" applyAlignment="1">
      <alignment vertical="center"/>
    </xf>
    <xf numFmtId="0" fontId="33" fillId="0" borderId="9" xfId="0" applyFont="1" applyBorder="1" applyAlignment="1">
      <alignment vertical="center" wrapText="1"/>
    </xf>
    <xf numFmtId="0" fontId="37" fillId="0" borderId="9" xfId="0" applyFont="1" applyBorder="1" applyAlignment="1">
      <alignment horizontal="center" vertical="center" wrapText="1"/>
    </xf>
    <xf numFmtId="0" fontId="34" fillId="0" borderId="9" xfId="0" applyFont="1" applyBorder="1" applyAlignment="1">
      <alignment vertical="center"/>
    </xf>
    <xf numFmtId="172" fontId="43" fillId="0" borderId="0" xfId="0" applyNumberFormat="1" applyFont="1" applyAlignment="1">
      <alignment horizontal="right"/>
    </xf>
    <xf numFmtId="10" fontId="43" fillId="0" borderId="0" xfId="3" applyNumberFormat="1" applyFont="1" applyFill="1" applyBorder="1" applyAlignment="1">
      <alignment horizontal="center" vertical="center" wrapText="1"/>
    </xf>
    <xf numFmtId="171" fontId="43" fillId="0" borderId="0" xfId="3" applyNumberFormat="1" applyFont="1" applyFill="1" applyBorder="1" applyAlignment="1">
      <alignment horizontal="center" vertical="center" wrapText="1"/>
    </xf>
    <xf numFmtId="173" fontId="43" fillId="0" borderId="0" xfId="0" applyNumberFormat="1" applyFont="1" applyAlignment="1" applyProtection="1">
      <alignment horizontal="right"/>
      <protection locked="0"/>
    </xf>
    <xf numFmtId="168" fontId="38" fillId="0" borderId="9" xfId="0" applyNumberFormat="1" applyFont="1" applyBorder="1" applyAlignment="1">
      <alignment horizontal="center" vertical="center" wrapText="1"/>
    </xf>
    <xf numFmtId="0" fontId="33" fillId="0" borderId="9" xfId="0" applyFont="1" applyBorder="1" applyAlignment="1">
      <alignment wrapText="1"/>
    </xf>
    <xf numFmtId="0" fontId="33" fillId="0" borderId="9" xfId="0" applyFont="1" applyBorder="1" applyAlignment="1">
      <alignment horizontal="left" vertical="top" wrapText="1"/>
    </xf>
    <xf numFmtId="0" fontId="42" fillId="0" borderId="9" xfId="0" applyFont="1" applyBorder="1" applyAlignment="1">
      <alignment horizontal="center" vertical="center"/>
    </xf>
    <xf numFmtId="171" fontId="38" fillId="11" borderId="9" xfId="3" applyNumberFormat="1" applyFont="1" applyFill="1" applyBorder="1" applyAlignment="1">
      <alignment horizontal="center" vertical="center" wrapText="1"/>
    </xf>
    <xf numFmtId="174" fontId="44" fillId="7" borderId="0" xfId="0" applyNumberFormat="1" applyFont="1" applyFill="1" applyAlignment="1">
      <alignment vertical="center" wrapText="1"/>
    </xf>
    <xf numFmtId="0" fontId="43" fillId="7" borderId="0" xfId="0" applyFont="1" applyFill="1" applyAlignment="1">
      <alignment vertical="center"/>
    </xf>
    <xf numFmtId="0" fontId="35" fillId="7" borderId="23" xfId="0" applyFont="1" applyFill="1" applyBorder="1" applyAlignment="1">
      <alignment horizontal="left" vertical="center" wrapText="1"/>
    </xf>
    <xf numFmtId="174" fontId="35" fillId="7" borderId="24" xfId="3" applyNumberFormat="1" applyFont="1" applyFill="1" applyBorder="1" applyAlignment="1">
      <alignment horizontal="center" vertical="center" wrapText="1"/>
    </xf>
    <xf numFmtId="175" fontId="35" fillId="7" borderId="0" xfId="0" applyNumberFormat="1" applyFont="1" applyFill="1" applyAlignment="1">
      <alignment horizontal="center" vertical="center" wrapText="1"/>
    </xf>
    <xf numFmtId="174" fontId="35" fillId="7" borderId="25" xfId="3" applyNumberFormat="1" applyFont="1" applyFill="1" applyBorder="1" applyAlignment="1">
      <alignment horizontal="center" vertical="center" wrapText="1"/>
    </xf>
    <xf numFmtId="0" fontId="35" fillId="7" borderId="26" xfId="0" applyFont="1" applyFill="1" applyBorder="1" applyAlignment="1">
      <alignment horizontal="left" vertical="center" wrapText="1"/>
    </xf>
    <xf numFmtId="0" fontId="35" fillId="3" borderId="27" xfId="0" applyFont="1" applyFill="1" applyBorder="1" applyAlignment="1">
      <alignment horizontal="left" vertical="center" wrapText="1"/>
    </xf>
    <xf numFmtId="174" fontId="35" fillId="3" borderId="28" xfId="3" applyNumberFormat="1" applyFont="1" applyFill="1" applyBorder="1" applyAlignment="1">
      <alignment horizontal="center" vertical="center" wrapText="1"/>
    </xf>
    <xf numFmtId="0" fontId="42" fillId="0" borderId="0" xfId="0" applyFont="1" applyAlignment="1">
      <alignment horizontal="left" vertical="center" indent="5"/>
    </xf>
    <xf numFmtId="170" fontId="36" fillId="9" borderId="19" xfId="5" applyFont="1" applyFill="1" applyBorder="1" applyAlignment="1">
      <alignment vertical="center"/>
    </xf>
    <xf numFmtId="170" fontId="36" fillId="9" borderId="29" xfId="5" applyFont="1" applyFill="1" applyBorder="1" applyAlignment="1">
      <alignment vertical="center" wrapText="1"/>
    </xf>
    <xf numFmtId="170" fontId="36" fillId="9" borderId="20" xfId="5" applyFont="1" applyFill="1" applyBorder="1" applyAlignment="1">
      <alignment vertical="center"/>
    </xf>
    <xf numFmtId="0" fontId="35" fillId="7" borderId="0" xfId="0" applyFont="1" applyFill="1" applyAlignment="1">
      <alignment horizontal="left" vertical="center"/>
    </xf>
    <xf numFmtId="0" fontId="34" fillId="7" borderId="0" xfId="0" applyFont="1" applyFill="1" applyAlignment="1">
      <alignment vertical="center" wrapText="1"/>
    </xf>
    <xf numFmtId="0" fontId="35" fillId="7" borderId="0" xfId="0" applyFont="1" applyFill="1" applyAlignment="1">
      <alignment horizontal="left" vertical="center" wrapText="1"/>
    </xf>
    <xf numFmtId="170" fontId="34" fillId="7" borderId="0" xfId="5" applyFont="1" applyFill="1" applyAlignment="1">
      <alignment horizontal="right" vertical="center"/>
    </xf>
    <xf numFmtId="169" fontId="19" fillId="4" borderId="9" xfId="2" applyNumberFormat="1" applyFont="1" applyFill="1" applyBorder="1" applyAlignment="1">
      <alignment horizontal="center" vertical="center" wrapText="1"/>
    </xf>
    <xf numFmtId="169" fontId="19" fillId="4" borderId="10" xfId="2" applyNumberFormat="1" applyFont="1" applyFill="1" applyBorder="1" applyAlignment="1">
      <alignment horizontal="center" vertical="center" wrapText="1"/>
    </xf>
    <xf numFmtId="0" fontId="23" fillId="8" borderId="11" xfId="2" applyFont="1" applyFill="1" applyBorder="1" applyAlignment="1">
      <alignment horizontal="center" vertical="center" wrapText="1"/>
    </xf>
    <xf numFmtId="0" fontId="23" fillId="8" borderId="12" xfId="2" applyFont="1" applyFill="1" applyBorder="1" applyAlignment="1">
      <alignment horizontal="center" vertical="center" wrapText="1"/>
    </xf>
    <xf numFmtId="0" fontId="24" fillId="8" borderId="12" xfId="2" applyFont="1" applyFill="1" applyBorder="1" applyAlignment="1">
      <alignment horizontal="center" vertical="center" wrapText="1"/>
    </xf>
    <xf numFmtId="0" fontId="24" fillId="8" borderId="13" xfId="2" applyFont="1" applyFill="1" applyBorder="1" applyAlignment="1">
      <alignment horizontal="center" vertical="center" wrapText="1"/>
    </xf>
    <xf numFmtId="0" fontId="24" fillId="8" borderId="14" xfId="2" applyFont="1" applyFill="1" applyBorder="1" applyAlignment="1">
      <alignment horizontal="center" vertical="center" wrapText="1"/>
    </xf>
    <xf numFmtId="0" fontId="14" fillId="4" borderId="15" xfId="2" applyFont="1" applyFill="1" applyBorder="1" applyAlignment="1">
      <alignment horizontal="center"/>
    </xf>
    <xf numFmtId="0" fontId="14" fillId="4" borderId="13" xfId="2" applyFont="1" applyFill="1" applyBorder="1" applyAlignment="1">
      <alignment horizontal="center"/>
    </xf>
    <xf numFmtId="0" fontId="14" fillId="4" borderId="14" xfId="2" applyFont="1" applyFill="1" applyBorder="1" applyAlignment="1">
      <alignment horizontal="center"/>
    </xf>
    <xf numFmtId="2" fontId="14" fillId="0" borderId="7" xfId="2" applyNumberFormat="1" applyFont="1" applyBorder="1" applyAlignment="1">
      <alignment horizontal="left" vertical="center" wrapText="1"/>
    </xf>
    <xf numFmtId="2" fontId="14" fillId="0" borderId="0" xfId="2" applyNumberFormat="1" applyFont="1" applyAlignment="1">
      <alignment horizontal="left" vertical="center" wrapText="1"/>
    </xf>
    <xf numFmtId="168" fontId="30" fillId="0" borderId="7" xfId="2" applyNumberFormat="1" applyFont="1" applyBorder="1" applyAlignment="1">
      <alignment horizontal="left" vertical="center"/>
    </xf>
    <xf numFmtId="168" fontId="30" fillId="0" borderId="0" xfId="2" applyNumberFormat="1" applyFont="1" applyAlignment="1">
      <alignment horizontal="left" vertical="center"/>
    </xf>
    <xf numFmtId="0" fontId="7" fillId="0" borderId="7" xfId="2" applyFont="1" applyBorder="1" applyAlignment="1">
      <alignment horizontal="left" vertical="center" wrapText="1"/>
    </xf>
    <xf numFmtId="0" fontId="7" fillId="0" borderId="0" xfId="2" applyFont="1" applyAlignment="1">
      <alignment horizontal="left" vertical="center" wrapText="1"/>
    </xf>
    <xf numFmtId="0" fontId="12" fillId="0" borderId="0" xfId="2" applyFont="1" applyAlignment="1">
      <alignment horizontal="left" vertical="center" wrapText="1"/>
    </xf>
    <xf numFmtId="0" fontId="19" fillId="4" borderId="9" xfId="2" applyFont="1" applyFill="1" applyBorder="1" applyAlignment="1">
      <alignment horizontal="center" vertical="center" wrapText="1"/>
    </xf>
    <xf numFmtId="0" fontId="19" fillId="4" borderId="10" xfId="2" applyFont="1" applyFill="1" applyBorder="1" applyAlignment="1">
      <alignment horizontal="center" vertical="center" wrapText="1"/>
    </xf>
    <xf numFmtId="0" fontId="4" fillId="0" borderId="7" xfId="2" applyFont="1" applyBorder="1" applyAlignment="1">
      <alignment horizontal="left" vertical="center" wrapText="1"/>
    </xf>
    <xf numFmtId="0" fontId="4" fillId="0" borderId="0" xfId="2" applyFont="1" applyAlignment="1">
      <alignment horizontal="left" vertical="center"/>
    </xf>
    <xf numFmtId="0" fontId="45" fillId="12" borderId="30" xfId="0" applyFont="1" applyFill="1" applyBorder="1" applyAlignment="1">
      <alignment horizontal="center" vertical="center"/>
    </xf>
    <xf numFmtId="0" fontId="45" fillId="12" borderId="31" xfId="0" applyFont="1" applyFill="1" applyBorder="1" applyAlignment="1">
      <alignment horizontal="center" vertical="center"/>
    </xf>
    <xf numFmtId="0" fontId="45" fillId="12" borderId="32" xfId="0" applyFont="1" applyFill="1" applyBorder="1" applyAlignment="1">
      <alignment horizontal="center" vertical="center"/>
    </xf>
    <xf numFmtId="0" fontId="47" fillId="12" borderId="36" xfId="8" applyFont="1" applyFill="1" applyBorder="1" applyAlignment="1" applyProtection="1">
      <alignment horizontal="center" vertical="center"/>
    </xf>
    <xf numFmtId="0" fontId="48" fillId="12" borderId="0" xfId="8" applyFont="1" applyFill="1" applyBorder="1" applyAlignment="1" applyProtection="1">
      <alignment horizontal="center" vertical="center"/>
    </xf>
    <xf numFmtId="0" fontId="48" fillId="12" borderId="18" xfId="8" applyFont="1" applyFill="1" applyBorder="1" applyAlignment="1" applyProtection="1">
      <alignment horizontal="center" vertical="center"/>
    </xf>
    <xf numFmtId="49" fontId="49" fillId="12" borderId="33" xfId="8" quotePrefix="1" applyNumberFormat="1" applyFont="1" applyFill="1" applyBorder="1" applyAlignment="1" applyProtection="1">
      <alignment horizontal="center" vertical="center"/>
    </xf>
    <xf numFmtId="49" fontId="49" fillId="12" borderId="34" xfId="8" quotePrefix="1" applyNumberFormat="1" applyFont="1" applyFill="1" applyBorder="1" applyAlignment="1" applyProtection="1">
      <alignment horizontal="center" vertical="center"/>
    </xf>
    <xf numFmtId="49" fontId="49" fillId="12" borderId="35" xfId="8" quotePrefix="1" applyNumberFormat="1" applyFont="1" applyFill="1" applyBorder="1" applyAlignment="1" applyProtection="1">
      <alignment horizontal="center" vertical="center"/>
    </xf>
    <xf numFmtId="0" fontId="34" fillId="7" borderId="1" xfId="0" applyFont="1" applyFill="1" applyBorder="1" applyAlignment="1">
      <alignment horizontal="center" vertical="center" wrapText="1"/>
    </xf>
    <xf numFmtId="0" fontId="34" fillId="7" borderId="2" xfId="0" applyFont="1" applyFill="1" applyBorder="1" applyAlignment="1">
      <alignment horizontal="center" vertical="center" wrapText="1"/>
    </xf>
    <xf numFmtId="0" fontId="34" fillId="7" borderId="37" xfId="0" applyFont="1" applyFill="1" applyBorder="1" applyAlignment="1">
      <alignment horizontal="center" vertical="center" wrapText="1"/>
    </xf>
    <xf numFmtId="0" fontId="34" fillId="7" borderId="6" xfId="0" applyFont="1" applyFill="1" applyBorder="1" applyAlignment="1">
      <alignment horizontal="center" vertical="center" wrapText="1"/>
    </xf>
    <xf numFmtId="0" fontId="34" fillId="7" borderId="0" xfId="0" applyFont="1" applyFill="1" applyAlignment="1">
      <alignment horizontal="center" vertical="center" wrapText="1"/>
    </xf>
    <xf numFmtId="0" fontId="34" fillId="7" borderId="38" xfId="0" applyFont="1" applyFill="1" applyBorder="1" applyAlignment="1">
      <alignment horizontal="center" vertical="center" wrapText="1"/>
    </xf>
    <xf numFmtId="0" fontId="34" fillId="7" borderId="39" xfId="0" applyFont="1" applyFill="1" applyBorder="1" applyAlignment="1">
      <alignment horizontal="center" vertical="center" wrapText="1"/>
    </xf>
    <xf numFmtId="0" fontId="34" fillId="7" borderId="40" xfId="0" applyFont="1" applyFill="1" applyBorder="1" applyAlignment="1">
      <alignment horizontal="center" vertical="center" wrapText="1"/>
    </xf>
    <xf numFmtId="0" fontId="34" fillId="7" borderId="41" xfId="0" applyFont="1" applyFill="1" applyBorder="1" applyAlignment="1">
      <alignment horizontal="center" vertical="center" wrapText="1"/>
    </xf>
    <xf numFmtId="0" fontId="35" fillId="9" borderId="0" xfId="0" applyFont="1" applyFill="1" applyAlignment="1">
      <alignment horizontal="center" vertical="center" wrapText="1" shrinkToFit="1"/>
    </xf>
    <xf numFmtId="0" fontId="35" fillId="9" borderId="18" xfId="0" applyFont="1" applyFill="1" applyBorder="1" applyAlignment="1">
      <alignment horizontal="center" vertical="center" wrapText="1" shrinkToFit="1"/>
    </xf>
    <xf numFmtId="170" fontId="36" fillId="9" borderId="19" xfId="5" applyFont="1" applyFill="1" applyBorder="1" applyAlignment="1">
      <alignment horizontal="center" vertical="center"/>
    </xf>
    <xf numFmtId="170" fontId="36" fillId="9" borderId="20" xfId="5" applyFont="1" applyFill="1" applyBorder="1" applyAlignment="1">
      <alignment horizontal="center" vertical="center"/>
    </xf>
    <xf numFmtId="0" fontId="35" fillId="10" borderId="15" xfId="0" applyFont="1" applyFill="1" applyBorder="1" applyAlignment="1">
      <alignment horizontal="center" vertical="center" wrapText="1"/>
    </xf>
    <xf numFmtId="0" fontId="34" fillId="0" borderId="14" xfId="0" applyFont="1" applyBorder="1" applyAlignment="1">
      <alignment horizontal="center" vertical="center" wrapText="1"/>
    </xf>
    <xf numFmtId="170" fontId="36" fillId="9" borderId="29" xfId="5" applyFont="1" applyFill="1" applyBorder="1" applyAlignment="1">
      <alignment horizontal="center" vertical="center"/>
    </xf>
    <xf numFmtId="170" fontId="35" fillId="7" borderId="30" xfId="5" applyFont="1" applyFill="1" applyBorder="1" applyAlignment="1">
      <alignment horizontal="center" vertical="center"/>
    </xf>
    <xf numFmtId="170" fontId="35" fillId="7" borderId="31" xfId="5" applyFont="1" applyFill="1" applyBorder="1" applyAlignment="1">
      <alignment horizontal="center" vertical="center"/>
    </xf>
    <xf numFmtId="170" fontId="35" fillId="7" borderId="32" xfId="5" applyFont="1" applyFill="1" applyBorder="1" applyAlignment="1">
      <alignment horizontal="center" vertical="center"/>
    </xf>
    <xf numFmtId="170" fontId="35" fillId="7" borderId="33" xfId="5" applyFont="1" applyFill="1" applyBorder="1" applyAlignment="1">
      <alignment horizontal="center" vertical="center"/>
    </xf>
    <xf numFmtId="170" fontId="35" fillId="7" borderId="34" xfId="5" applyFont="1" applyFill="1" applyBorder="1" applyAlignment="1">
      <alignment horizontal="center" vertical="center"/>
    </xf>
    <xf numFmtId="170" fontId="35" fillId="7" borderId="35" xfId="5" applyFont="1" applyFill="1" applyBorder="1" applyAlignment="1">
      <alignment horizontal="center" vertical="center"/>
    </xf>
  </cellXfs>
  <cellStyles count="9">
    <cellStyle name="Comma 2 2" xfId="5" xr:uid="{EDB3D41A-3CDB-4BB7-9084-FEDB6AB08F51}"/>
    <cellStyle name="Currency" xfId="1" builtinId="4"/>
    <cellStyle name="Currency 2" xfId="3" xr:uid="{E4ED1213-8E4B-47B3-A8F4-ECBA89F68ECB}"/>
    <cellStyle name="Hyperlink 2" xfId="4" xr:uid="{9792C478-DC57-4E3F-905F-FB029D4897D2}"/>
    <cellStyle name="Hyperlink 3" xfId="8" xr:uid="{907640CE-7F11-40AE-9442-23893361A808}"/>
    <cellStyle name="Normal" xfId="0" builtinId="0"/>
    <cellStyle name="Normal 4" xfId="2" xr:uid="{E913E1E3-B411-4E4A-B861-930568787309}"/>
    <cellStyle name="Normal 47" xfId="7" xr:uid="{1F45872A-C156-4409-8BCA-E262CC726574}"/>
    <cellStyle name="Percent 2" xfId="6" xr:uid="{87880830-5298-4FF8-A6CB-B481FCE7F3A0}"/>
  </cellStyles>
  <dxfs count="2">
    <dxf>
      <numFmt numFmtId="176" formatCode="[$€-2]\ #,##0"/>
    </dxf>
    <dxf>
      <numFmt numFmtId="176" formatCode="[$€-2]\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3</xdr:col>
      <xdr:colOff>152399</xdr:colOff>
      <xdr:row>0</xdr:row>
      <xdr:rowOff>279400</xdr:rowOff>
    </xdr:from>
    <xdr:ext cx="6213299" cy="3860800"/>
    <xdr:pic>
      <xdr:nvPicPr>
        <xdr:cNvPr id="2" name="Picture 1">
          <a:extLst>
            <a:ext uri="{FF2B5EF4-FFF2-40B4-BE49-F238E27FC236}">
              <a16:creationId xmlns:a16="http://schemas.microsoft.com/office/drawing/2014/main" id="{C4B4565B-CDA1-49AF-A6C5-30D380C39D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699" y="279400"/>
          <a:ext cx="6213299" cy="38608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171450</xdr:colOff>
      <xdr:row>0</xdr:row>
      <xdr:rowOff>114300</xdr:rowOff>
    </xdr:from>
    <xdr:to>
      <xdr:col>2</xdr:col>
      <xdr:colOff>847725</xdr:colOff>
      <xdr:row>2</xdr:row>
      <xdr:rowOff>53975</xdr:rowOff>
    </xdr:to>
    <xdr:pic>
      <xdr:nvPicPr>
        <xdr:cNvPr id="2" name="Picture 2" descr="Redington Value - New Logo.jpg">
          <a:extLst>
            <a:ext uri="{FF2B5EF4-FFF2-40B4-BE49-F238E27FC236}">
              <a16:creationId xmlns:a16="http://schemas.microsoft.com/office/drawing/2014/main" id="{8135C66E-8C56-46A6-9584-780F1A390D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9150" y="114300"/>
          <a:ext cx="2492375" cy="307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3</xdr:col>
      <xdr:colOff>152399</xdr:colOff>
      <xdr:row>0</xdr:row>
      <xdr:rowOff>279400</xdr:rowOff>
    </xdr:from>
    <xdr:ext cx="6213299" cy="3860800"/>
    <xdr:pic>
      <xdr:nvPicPr>
        <xdr:cNvPr id="2" name="Picture 1">
          <a:extLst>
            <a:ext uri="{FF2B5EF4-FFF2-40B4-BE49-F238E27FC236}">
              <a16:creationId xmlns:a16="http://schemas.microsoft.com/office/drawing/2014/main" id="{AC238DCB-A10D-484A-B7B8-B351C6D606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6449" y="184150"/>
          <a:ext cx="6213299" cy="38608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2069859" cy="2591162"/>
    <xdr:pic>
      <xdr:nvPicPr>
        <xdr:cNvPr id="2" name="Picture 1">
          <a:extLst>
            <a:ext uri="{FF2B5EF4-FFF2-40B4-BE49-F238E27FC236}">
              <a16:creationId xmlns:a16="http://schemas.microsoft.com/office/drawing/2014/main" id="{2DFCDFA5-2A36-4437-874D-15B418145D0A}"/>
            </a:ext>
          </a:extLst>
        </xdr:cNvPr>
        <xdr:cNvPicPr>
          <a:picLocks noChangeAspect="1"/>
        </xdr:cNvPicPr>
      </xdr:nvPicPr>
      <xdr:blipFill>
        <a:blip xmlns:r="http://schemas.openxmlformats.org/officeDocument/2006/relationships" r:embed="rId1"/>
        <a:stretch>
          <a:fillRect/>
        </a:stretch>
      </xdr:blipFill>
      <xdr:spPr>
        <a:xfrm>
          <a:off x="0" y="0"/>
          <a:ext cx="12069859" cy="2591162"/>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olphinprofessionalservi322-my.sharepoint.com/Users/Dotto/AppData/Local/Microsoft/Windows/Temporary%20Internet%20Files/Content.Outlook/R4SOSIV6/HPServer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Users\duffyb2\Desktop\Q1%20'11\Services%20Pricing%20Project\Nordstrom%20Compliance%20Research.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evanm\AppData\Local\Temp\e7610ab1-8c6a-49ed-aba2-c92a0205c52a_PIPEDRIVE%20WORKINGS%20QUOTES.zip.52a\EXIM%20BANK__NETAPP%20QUOTE.xlsm" TargetMode="External"/><Relationship Id="rId1" Type="http://schemas.openxmlformats.org/officeDocument/2006/relationships/externalLinkPath" Target="https://dolphinprofessionalservi322-my.sharepoint.com/Users/evanm/AppData/Local/Temp/e7610ab1-8c6a-49ed-aba2-c92a0205c52a_PIPEDRIVE%20WORKINGS%20QUOTES.zip.52a/EXIM%20BANK__NETAPP%20QUOTE.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Quotes\2026\March\Assembles\Quote%20-%20Assembles%20Server%20Hard%20Drive.xlsx" TargetMode="External"/><Relationship Id="rId1" Type="http://schemas.openxmlformats.org/officeDocument/2006/relationships/externalLinkPath" Target="Quote%20-%20Assembles%20Server%20Hard%20Driv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Guide"/>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Usage v Entitled"/>
      <sheetName val="For Prez"/>
      <sheetName val="Timeline"/>
      <sheetName val="Summary Tab"/>
      <sheetName val="Sheet2"/>
      <sheetName val="Nordstrom SYR Report"/>
      <sheetName val="Nordstrom Summary"/>
      <sheetName val="Quote 2 - VMAX Purchase"/>
      <sheetName val="Sheet1"/>
      <sheetName val="VMAX Upgrade"/>
      <sheetName val="Sheet1 (2)"/>
      <sheetName val="Quote 1 - DMX Upgrade"/>
      <sheetName val="DMX Upgrade"/>
      <sheetName val="DMX Upgrade #2"/>
      <sheetName val="Nordstrom Data"/>
      <sheetName val="Usage_v_Entitled"/>
      <sheetName val="For_Prez"/>
      <sheetName val="Summary_Tab"/>
      <sheetName val="Nordstrom_SYR_Report"/>
      <sheetName val="Nordstrom_Summary"/>
      <sheetName val="Quote_2_-_VMAX_Purchase"/>
      <sheetName val="VMAX_Upgrade"/>
      <sheetName val="Sheet1_(2)"/>
      <sheetName val="Quote_1_-_DMX_Upgrade"/>
      <sheetName val="DMX_Upgrade"/>
      <sheetName val="DMX_Upgrade_#2"/>
      <sheetName val="Nordstrom_Data"/>
      <sheetName val="Usage_v_Entitled1"/>
      <sheetName val="For_Prez1"/>
      <sheetName val="Summary_Tab1"/>
      <sheetName val="Nordstrom_SYR_Report1"/>
      <sheetName val="Nordstrom_Summary1"/>
      <sheetName val="Quote_2_-_VMAX_Purchase1"/>
      <sheetName val="VMAX_Upgrade1"/>
      <sheetName val="Sheet1_(2)1"/>
      <sheetName val="Quote_1_-_DMX_Upgrade1"/>
      <sheetName val="DMX_Upgrade1"/>
      <sheetName val="DMX_Upgrade_#21"/>
      <sheetName val="Nordstrom_Data1"/>
      <sheetName val="Usage_v_Entitled2"/>
      <sheetName val="For_Prez2"/>
      <sheetName val="Summary_Tab2"/>
      <sheetName val="Nordstrom_SYR_Report2"/>
      <sheetName val="Nordstrom_Summary2"/>
      <sheetName val="Quote_2_-_VMAX_Purchase2"/>
      <sheetName val="VMAX_Upgrade2"/>
      <sheetName val="Sheet1_(2)2"/>
      <sheetName val="Quote_1_-_DMX_Upgrade2"/>
      <sheetName val="DMX_Upgrade2"/>
      <sheetName val="DMX_Upgrade_#22"/>
      <sheetName val="Nordstrom_Data2"/>
      <sheetName val="Usage_v_Entitled3"/>
      <sheetName val="For_Prez3"/>
      <sheetName val="Summary_Tab3"/>
      <sheetName val="Nordstrom_SYR_Report3"/>
      <sheetName val="Nordstrom_Summary3"/>
      <sheetName val="Quote_2_-_VMAX_Purchase3"/>
      <sheetName val="VMAX_Upgrade3"/>
      <sheetName val="Sheet1_(2)3"/>
      <sheetName val="Quote_1_-_DMX_Upgrade3"/>
      <sheetName val="DMX_Upgrade3"/>
      <sheetName val="DMX_Upgrade_#23"/>
      <sheetName val="Nordstrom_Data3"/>
      <sheetName val="Usage_v_Entitled4"/>
      <sheetName val="For_Prez4"/>
      <sheetName val="Summary_Tab4"/>
      <sheetName val="Nordstrom_SYR_Report4"/>
      <sheetName val="Nordstrom_Summary4"/>
      <sheetName val="Quote_2_-_VMAX_Purchase4"/>
      <sheetName val="VMAX_Upgrade4"/>
      <sheetName val="Sheet1_(2)4"/>
      <sheetName val="Quote_1_-_DMX_Upgrade4"/>
      <sheetName val="DMX_Upgrade4"/>
      <sheetName val="DMX_Upgrade_#24"/>
      <sheetName val="Nordstrom_Data4"/>
      <sheetName val="Template"/>
      <sheetName val="Usage_v_Entitled5"/>
      <sheetName val="For_Prez5"/>
      <sheetName val="Summary_Tab5"/>
      <sheetName val="Nordstrom_SYR_Report5"/>
      <sheetName val="Nordstrom_Summary5"/>
      <sheetName val="Quote_2_-_VMAX_Purchase5"/>
      <sheetName val="VMAX_Upgrade5"/>
      <sheetName val="Sheet1_(2)5"/>
      <sheetName val="Quote_1_-_DMX_Upgrade5"/>
      <sheetName val="DMX_Upgrade5"/>
      <sheetName val="DMX_Upgrade_#25"/>
      <sheetName val="Nordstrom_Data5"/>
      <sheetName val="SKU Description"/>
      <sheetName val="Zone"/>
      <sheetName val="CE labor rate"/>
      <sheetName val="AU entitlement"/>
      <sheetName val="Usage_v_Entitled6"/>
      <sheetName val="For_Prez6"/>
      <sheetName val="Summary_Tab6"/>
      <sheetName val="Nordstrom_SYR_Report6"/>
      <sheetName val="Nordstrom_Summary6"/>
      <sheetName val="Quote_2_-_VMAX_Purchase6"/>
      <sheetName val="VMAX_Upgrade6"/>
      <sheetName val="Sheet1_(2)6"/>
      <sheetName val="Quote_1_-_DMX_Upgrade6"/>
      <sheetName val="DMX_Upgrade6"/>
      <sheetName val="DMX_Upgrade_#26"/>
      <sheetName val="Nordstrom_Data6"/>
      <sheetName val="SKU_Description"/>
      <sheetName val="CE_labor_rate"/>
      <sheetName val="AU_entitlement"/>
      <sheetName val="Config"/>
      <sheetName val="Support"/>
      <sheetName val="Usage_v_Entitled7"/>
      <sheetName val="For_Prez7"/>
      <sheetName val="Summary_Tab7"/>
      <sheetName val="Nordstrom_SYR_Report7"/>
      <sheetName val="Nordstrom_Summary7"/>
      <sheetName val="Quote_2_-_VMAX_Purchase7"/>
      <sheetName val="VMAX_Upgrade7"/>
      <sheetName val="Sheet1_(2)7"/>
      <sheetName val="Quote_1_-_DMX_Upgrade7"/>
      <sheetName val="DMX_Upgrade7"/>
      <sheetName val="DMX_Upgrade_#27"/>
      <sheetName val="Nordstrom_Data7"/>
      <sheetName val="SKU_Description1"/>
      <sheetName val="CE_labor_rate1"/>
      <sheetName val="AU_entitlement1"/>
      <sheetName val="Usage_v_Entitled8"/>
      <sheetName val="For_Prez8"/>
      <sheetName val="Summary_Tab8"/>
      <sheetName val="Nordstrom_SYR_Report8"/>
      <sheetName val="Nordstrom_Summary8"/>
      <sheetName val="Quote_2_-_VMAX_Purchase8"/>
      <sheetName val="VMAX_Upgrade8"/>
      <sheetName val="Sheet1_(2)8"/>
      <sheetName val="Quote_1_-_DMX_Upgrade8"/>
      <sheetName val="DMX_Upgrade8"/>
      <sheetName val="DMX_Upgrade_#28"/>
      <sheetName val="Nordstrom_Data8"/>
      <sheetName val="SKU_Description2"/>
      <sheetName val="CE_labor_rate2"/>
      <sheetName val="AU_entitlement2"/>
      <sheetName val="Nordstrom Compliance Research"/>
      <sheetName val="Smart VMAX_XIO_Unity Switches"/>
      <sheetName val="Usage_v_Entitled9"/>
      <sheetName val="For_Prez9"/>
      <sheetName val="Summary_Tab9"/>
      <sheetName val="Nordstrom_SYR_Report9"/>
      <sheetName val="Nordstrom_Summary9"/>
      <sheetName val="Quote_2_-_VMAX_Purchase9"/>
      <sheetName val="VMAX_Upgrade9"/>
      <sheetName val="Sheet1_(2)9"/>
      <sheetName val="Quote_1_-_DMX_Upgrade9"/>
      <sheetName val="DMX_Upgrade9"/>
      <sheetName val="DMX_Upgrade_#29"/>
      <sheetName val="Nordstrom_Data9"/>
      <sheetName val="SKU_Description3"/>
      <sheetName val="CE_labor_rate3"/>
      <sheetName val="AU_entitlement3"/>
      <sheetName val="Smart_VMAX_XIO_Unity_Switches"/>
      <sheetName val="Nordstrom_Compliance_Research"/>
      <sheetName val="Usage_v_Entitled10"/>
      <sheetName val="For_Prez10"/>
      <sheetName val="Summary_Tab10"/>
      <sheetName val="Nordstrom_SYR_Report10"/>
      <sheetName val="Nordstrom_Summary10"/>
      <sheetName val="Quote_2_-_VMAX_Purchase10"/>
      <sheetName val="VMAX_Upgrade10"/>
      <sheetName val="Sheet1_(2)10"/>
      <sheetName val="Quote_1_-_DMX_Upgrade10"/>
      <sheetName val="DMX_Upgrade10"/>
      <sheetName val="DMX_Upgrade_#210"/>
      <sheetName val="Nordstrom_Data10"/>
      <sheetName val="SKU_Description4"/>
      <sheetName val="CE_labor_rate4"/>
      <sheetName val="AU_entitlement4"/>
      <sheetName val="Smart_VMAX_XIO_Unity_Switches1"/>
      <sheetName val="Nordstrom_Compliance_Research1"/>
      <sheetName val="Usage_v_Entitled11"/>
      <sheetName val="For_Prez11"/>
      <sheetName val="Summary_Tab11"/>
      <sheetName val="Nordstrom_SYR_Report11"/>
      <sheetName val="Nordstrom_Summary11"/>
      <sheetName val="Quote_2_-_VMAX_Purchase11"/>
      <sheetName val="VMAX_Upgrade11"/>
      <sheetName val="Sheet1_(2)11"/>
      <sheetName val="Quote_1_-_DMX_Upgrade11"/>
      <sheetName val="DMX_Upgrade11"/>
      <sheetName val="DMX_Upgrade_#211"/>
      <sheetName val="Nordstrom_Data11"/>
      <sheetName val="SKU_Description5"/>
      <sheetName val="CE_labor_rate5"/>
      <sheetName val="AU_entitlement5"/>
      <sheetName val="Smart_VMAX_XIO_Unity_Switches2"/>
      <sheetName val="Nordstrom_Compliance_Research2"/>
      <sheetName val="Usage_v_Entitled12"/>
      <sheetName val="For_Prez12"/>
      <sheetName val="Summary_Tab12"/>
      <sheetName val="Nordstrom_SYR_Report12"/>
      <sheetName val="Nordstrom_Summary12"/>
      <sheetName val="Quote_2_-_VMAX_Purchase12"/>
      <sheetName val="VMAX_Upgrade12"/>
      <sheetName val="Sheet1_(2)12"/>
      <sheetName val="Quote_1_-_DMX_Upgrade12"/>
      <sheetName val="DMX_Upgrade12"/>
      <sheetName val="DMX_Upgrade_#212"/>
      <sheetName val="Nordstrom_Data12"/>
      <sheetName val="SKU_Description6"/>
      <sheetName val="CE_labor_rate6"/>
      <sheetName val="AU_entitlement6"/>
      <sheetName val="Usage_v_Entitled14"/>
      <sheetName val="For_Prez14"/>
      <sheetName val="Summary_Tab14"/>
      <sheetName val="Nordstrom_SYR_Report14"/>
      <sheetName val="Nordstrom_Summary14"/>
      <sheetName val="Quote_2_-_VMAX_Purchase14"/>
      <sheetName val="VMAX_Upgrade14"/>
      <sheetName val="Sheet1_(2)14"/>
      <sheetName val="Quote_1_-_DMX_Upgrade14"/>
      <sheetName val="DMX_Upgrade14"/>
      <sheetName val="DMX_Upgrade_#214"/>
      <sheetName val="Nordstrom_Data14"/>
      <sheetName val="SKU_Description8"/>
      <sheetName val="CE_labor_rate8"/>
      <sheetName val="AU_entitlement8"/>
      <sheetName val="Smart_VMAX_XIO_Unity_Switches4"/>
      <sheetName val="Nordstrom_Compliance_Research4"/>
      <sheetName val="Usage_v_Entitled13"/>
      <sheetName val="For_Prez13"/>
      <sheetName val="Summary_Tab13"/>
      <sheetName val="Nordstrom_SYR_Report13"/>
      <sheetName val="Nordstrom_Summary13"/>
      <sheetName val="Quote_2_-_VMAX_Purchase13"/>
      <sheetName val="VMAX_Upgrade13"/>
      <sheetName val="Sheet1_(2)13"/>
      <sheetName val="Quote_1_-_DMX_Upgrade13"/>
      <sheetName val="DMX_Upgrade13"/>
      <sheetName val="DMX_Upgrade_#213"/>
      <sheetName val="Nordstrom_Data13"/>
      <sheetName val="SKU_Description7"/>
      <sheetName val="CE_labor_rate7"/>
      <sheetName val="AU_entitlement7"/>
      <sheetName val="Smart_VMAX_XIO_Unity_Switches3"/>
      <sheetName val="Nordstrom_Compliance_Research3"/>
      <sheetName val="Usage_v_Entitled15"/>
      <sheetName val="For_Prez15"/>
      <sheetName val="Summary_Tab15"/>
      <sheetName val="Nordstrom_SYR_Report15"/>
      <sheetName val="Nordstrom_Summary15"/>
      <sheetName val="Quote_2_-_VMAX_Purchase15"/>
      <sheetName val="VMAX_Upgrade15"/>
      <sheetName val="Sheet1_(2)15"/>
      <sheetName val="Quote_1_-_DMX_Upgrade15"/>
      <sheetName val="DMX_Upgrade15"/>
      <sheetName val="DMX_Upgrade_#215"/>
      <sheetName val="Nordstrom_Data15"/>
      <sheetName val="SKU_Description9"/>
      <sheetName val="CE_labor_rate9"/>
      <sheetName val="AU_entitlement9"/>
      <sheetName val="Smart_VMAX_XIO_Unity_Switches5"/>
      <sheetName val="Nordstrom_Compliance_Research5"/>
      <sheetName val="Usage_v_Entitled17"/>
      <sheetName val="For_Prez17"/>
      <sheetName val="Summary_Tab17"/>
      <sheetName val="Nordstrom_SYR_Report17"/>
      <sheetName val="Nordstrom_Summary17"/>
      <sheetName val="Quote_2_-_VMAX_Purchase17"/>
      <sheetName val="VMAX_Upgrade17"/>
      <sheetName val="Sheet1_(2)17"/>
      <sheetName val="Quote_1_-_DMX_Upgrade17"/>
      <sheetName val="DMX_Upgrade17"/>
      <sheetName val="DMX_Upgrade_#217"/>
      <sheetName val="Nordstrom_Data17"/>
      <sheetName val="SKU_Description11"/>
      <sheetName val="CE_labor_rate11"/>
      <sheetName val="AU_entitlement11"/>
      <sheetName val="Smart_VMAX_XIO_Unity_Switches7"/>
      <sheetName val="Nordstrom_Compliance_Research7"/>
      <sheetName val="Usage_v_Entitled16"/>
      <sheetName val="For_Prez16"/>
      <sheetName val="Summary_Tab16"/>
      <sheetName val="Nordstrom_SYR_Report16"/>
      <sheetName val="Nordstrom_Summary16"/>
      <sheetName val="Quote_2_-_VMAX_Purchase16"/>
      <sheetName val="VMAX_Upgrade16"/>
      <sheetName val="Sheet1_(2)16"/>
      <sheetName val="Quote_1_-_DMX_Upgrade16"/>
      <sheetName val="DMX_Upgrade16"/>
      <sheetName val="DMX_Upgrade_#216"/>
      <sheetName val="Nordstrom_Data16"/>
      <sheetName val="SKU_Description10"/>
      <sheetName val="CE_labor_rate10"/>
      <sheetName val="AU_entitlement10"/>
      <sheetName val="Smart_VMAX_XIO_Unity_Switches6"/>
      <sheetName val="Nordstrom_Compliance_Research6"/>
      <sheetName val="Usage_v_Entitled18"/>
      <sheetName val="For_Prez18"/>
      <sheetName val="Summary_Tab18"/>
      <sheetName val="Nordstrom_SYR_Report18"/>
      <sheetName val="Nordstrom_Summary18"/>
      <sheetName val="Quote_2_-_VMAX_Purchase18"/>
      <sheetName val="VMAX_Upgrade18"/>
      <sheetName val="Sheet1_(2)18"/>
      <sheetName val="Quote_1_-_DMX_Upgrade18"/>
      <sheetName val="DMX_Upgrade18"/>
      <sheetName val="DMX_Upgrade_#218"/>
      <sheetName val="Nordstrom_Data18"/>
      <sheetName val="SKU_Description12"/>
      <sheetName val="CE_labor_rate12"/>
      <sheetName val="AU_entitlement12"/>
      <sheetName val="Nordstrom_Compliance_Research8"/>
      <sheetName val="Smart_VMAX_XIO_Unity_Switches8"/>
      <sheetName val="Usage_v_Entitled19"/>
      <sheetName val="For_Prez19"/>
      <sheetName val="Summary_Tab19"/>
      <sheetName val="Nordstrom_SYR_Report19"/>
      <sheetName val="Nordstrom_Summary19"/>
      <sheetName val="Quote_2_-_VMAX_Purchase19"/>
      <sheetName val="VMAX_Upgrade19"/>
      <sheetName val="Sheet1_(2)19"/>
      <sheetName val="Quote_1_-_DMX_Upgrade19"/>
      <sheetName val="DMX_Upgrade19"/>
      <sheetName val="DMX_Upgrade_#219"/>
      <sheetName val="Nordstrom_Data19"/>
      <sheetName val="SKU_Description13"/>
      <sheetName val="CE_labor_rate13"/>
      <sheetName val="AU_entitlement13"/>
      <sheetName val="Nordstrom_Compliance_Research9"/>
      <sheetName val="Smart_VMAX_XIO_Unity_Switches9"/>
      <sheetName val="Usage_v_Entitled20"/>
      <sheetName val="For_Prez20"/>
      <sheetName val="Summary_Tab20"/>
      <sheetName val="Nordstrom_SYR_Report20"/>
      <sheetName val="Nordstrom_Summary20"/>
      <sheetName val="Quote_2_-_VMAX_Purchase20"/>
      <sheetName val="VMAX_Upgrade20"/>
      <sheetName val="Sheet1_(2)20"/>
      <sheetName val="Quote_1_-_DMX_Upgrade20"/>
      <sheetName val="DMX_Upgrade20"/>
      <sheetName val="DMX_Upgrade_#220"/>
      <sheetName val="Nordstrom_Data20"/>
      <sheetName val="SKU_Description14"/>
      <sheetName val="CE_labor_rate14"/>
      <sheetName val="AU_entitlement14"/>
      <sheetName val="Nordstrom_Compliance_Research10"/>
      <sheetName val="Smart_VMAX_XIO_Unity_Switches10"/>
      <sheetName val="Usage_v_Entitled21"/>
      <sheetName val="For_Prez21"/>
      <sheetName val="Summary_Tab21"/>
      <sheetName val="Nordstrom_SYR_Report21"/>
      <sheetName val="Nordstrom_Summary21"/>
      <sheetName val="Quote_2_-_VMAX_Purchase21"/>
      <sheetName val="VMAX_Upgrade21"/>
      <sheetName val="Sheet1_(2)21"/>
      <sheetName val="Quote_1_-_DMX_Upgrade21"/>
      <sheetName val="DMX_Upgrade21"/>
      <sheetName val="DMX_Upgrade_#221"/>
      <sheetName val="Nordstrom_Data21"/>
      <sheetName val="SKU_Description15"/>
      <sheetName val="CE_labor_rate15"/>
      <sheetName val="AU_entitlement15"/>
      <sheetName val="Smart_VMAX_XIO_Unity_Switches11"/>
      <sheetName val="Nordstrom_Compliance_Research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ote (TZS)"/>
      <sheetName val="PFI"/>
      <sheetName val="DPPP"/>
    </sheetNames>
    <sheetDataSet>
      <sheetData sheetId="0"/>
      <sheetData sheetId="1">
        <row r="5">
          <cell r="J5" t="str">
            <v>Hiperdist UK</v>
          </cell>
        </row>
      </sheetData>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dolphin.co.tz/"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Joyce.Kinyanjui@redingtongroup.com"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dolphin.co.tz/"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C8F16-FCC6-4D5A-8194-9DA7449249C0}">
  <sheetPr>
    <pageSetUpPr fitToPage="1"/>
  </sheetPr>
  <dimension ref="A1:W31"/>
  <sheetViews>
    <sheetView tabSelected="1" view="pageBreakPreview" topLeftCell="B11" zoomScale="25" zoomScaleNormal="100" zoomScaleSheetLayoutView="25" zoomScalePageLayoutView="25" workbookViewId="0">
      <selection activeCell="F17" sqref="F17"/>
    </sheetView>
  </sheetViews>
  <sheetFormatPr defaultColWidth="9.1796875" defaultRowHeight="31" x14ac:dyDescent="0.7"/>
  <cols>
    <col min="1" max="1" width="0" style="63" hidden="1" customWidth="1"/>
    <col min="2" max="3" width="0.81640625" style="63" customWidth="1"/>
    <col min="4" max="4" width="15" style="63" customWidth="1"/>
    <col min="5" max="5" width="61.1796875" style="63" bestFit="1" customWidth="1"/>
    <col min="6" max="6" width="157.1796875" style="63" customWidth="1"/>
    <col min="7" max="7" width="20.453125" style="63" customWidth="1"/>
    <col min="8" max="8" width="59" style="104" customWidth="1"/>
    <col min="9" max="9" width="68.6328125" style="63" customWidth="1"/>
    <col min="10" max="11" width="9.1796875" style="63" customWidth="1"/>
    <col min="12" max="12" width="59.36328125" style="63" bestFit="1" customWidth="1"/>
    <col min="13" max="13" width="59.36328125" style="63" customWidth="1"/>
    <col min="14" max="14" width="35.453125" style="63" hidden="1" customWidth="1"/>
    <col min="15" max="15" width="53.08984375" style="85" customWidth="1"/>
    <col min="16" max="16" width="52.453125" style="63" customWidth="1"/>
    <col min="17" max="17" width="55.6328125" style="68" customWidth="1"/>
    <col min="18" max="18" width="47.1796875" style="63" customWidth="1"/>
    <col min="19" max="19" width="18.453125" style="63" bestFit="1" customWidth="1"/>
    <col min="20" max="20" width="43.1796875" style="63" bestFit="1" customWidth="1"/>
    <col min="21" max="21" width="39.81640625" style="63" bestFit="1" customWidth="1"/>
    <col min="22" max="22" width="36.81640625" style="63" bestFit="1" customWidth="1"/>
    <col min="23" max="23" width="50.36328125" style="63" bestFit="1" customWidth="1"/>
    <col min="24" max="24" width="34.453125" style="63" bestFit="1" customWidth="1"/>
    <col min="25" max="16384" width="9.1796875" style="63"/>
  </cols>
  <sheetData>
    <row r="1" spans="1:23" s="7" customFormat="1" ht="40" customHeight="1" x14ac:dyDescent="0.35">
      <c r="A1" s="1"/>
      <c r="B1" s="2"/>
      <c r="C1" s="2"/>
      <c r="D1" s="3"/>
      <c r="E1" s="4"/>
      <c r="F1" s="4"/>
      <c r="G1" s="4"/>
      <c r="H1" s="5" t="s">
        <v>0</v>
      </c>
      <c r="I1" s="6"/>
      <c r="O1" s="8"/>
      <c r="Q1" s="9"/>
    </row>
    <row r="2" spans="1:23" s="7" customFormat="1" ht="40" customHeight="1" x14ac:dyDescent="0.35">
      <c r="A2" s="10"/>
      <c r="D2" s="11"/>
      <c r="E2" s="12"/>
      <c r="F2" s="12"/>
      <c r="G2" s="12"/>
      <c r="H2" s="13" t="s">
        <v>1</v>
      </c>
      <c r="I2" s="14"/>
      <c r="O2" s="8"/>
      <c r="Q2" s="9"/>
    </row>
    <row r="3" spans="1:23" s="7" customFormat="1" ht="40" customHeight="1" x14ac:dyDescent="0.35">
      <c r="A3" s="10"/>
      <c r="D3" s="11"/>
      <c r="E3" s="12"/>
      <c r="F3" s="12"/>
      <c r="G3" s="12"/>
      <c r="H3" s="13" t="s">
        <v>2</v>
      </c>
      <c r="I3" s="15"/>
      <c r="O3" s="16"/>
      <c r="P3" s="17"/>
      <c r="Q3" s="9"/>
    </row>
    <row r="4" spans="1:23" s="7" customFormat="1" ht="40" customHeight="1" x14ac:dyDescent="0.35">
      <c r="A4" s="10"/>
      <c r="D4" s="11"/>
      <c r="E4" s="12"/>
      <c r="F4" s="12"/>
      <c r="G4" s="12"/>
      <c r="H4" s="13" t="s">
        <v>3</v>
      </c>
      <c r="I4" s="15"/>
      <c r="O4" s="16"/>
      <c r="P4" s="17"/>
      <c r="Q4" s="9"/>
    </row>
    <row r="5" spans="1:23" s="7" customFormat="1" ht="40" customHeight="1" x14ac:dyDescent="0.35">
      <c r="A5" s="10"/>
      <c r="D5" s="11"/>
      <c r="E5" s="12"/>
      <c r="F5" s="12"/>
      <c r="G5" s="12"/>
      <c r="H5" s="13" t="s">
        <v>4</v>
      </c>
      <c r="I5" s="15"/>
      <c r="O5" s="16"/>
      <c r="P5" s="17"/>
      <c r="Q5" s="9"/>
    </row>
    <row r="6" spans="1:23" s="7" customFormat="1" ht="40" customHeight="1" x14ac:dyDescent="0.35">
      <c r="A6" s="10"/>
      <c r="D6" s="189"/>
      <c r="E6" s="190"/>
      <c r="F6" s="190"/>
      <c r="G6" s="18"/>
      <c r="H6" s="13" t="s">
        <v>5</v>
      </c>
      <c r="I6" s="15"/>
      <c r="O6" s="16"/>
      <c r="P6" s="17"/>
      <c r="Q6" s="9"/>
    </row>
    <row r="7" spans="1:23" s="7" customFormat="1" ht="47.5" customHeight="1" x14ac:dyDescent="0.35">
      <c r="A7" s="10"/>
      <c r="D7" s="11"/>
      <c r="E7" s="12"/>
      <c r="H7" s="13" t="s">
        <v>6</v>
      </c>
      <c r="I7" s="15"/>
      <c r="O7" s="16"/>
      <c r="P7" s="17"/>
      <c r="Q7" s="9"/>
    </row>
    <row r="8" spans="1:23" s="20" customFormat="1" ht="39.75" customHeight="1" x14ac:dyDescent="0.35">
      <c r="A8" s="19"/>
      <c r="D8" s="21"/>
      <c r="E8" s="22"/>
      <c r="F8" s="22"/>
      <c r="G8" s="22"/>
      <c r="H8" s="23" t="s">
        <v>7</v>
      </c>
      <c r="I8" s="24"/>
      <c r="O8" s="25"/>
      <c r="P8" s="26"/>
      <c r="Q8" s="27"/>
    </row>
    <row r="9" spans="1:23" s="20" customFormat="1" ht="40" customHeight="1" x14ac:dyDescent="0.35">
      <c r="A9" s="19"/>
      <c r="D9" s="21"/>
      <c r="E9" s="22"/>
      <c r="F9" s="22"/>
      <c r="G9" s="22"/>
      <c r="H9" s="13" t="s">
        <v>8</v>
      </c>
      <c r="I9" s="24"/>
      <c r="O9" s="25"/>
      <c r="P9" s="26"/>
      <c r="Q9" s="27"/>
    </row>
    <row r="10" spans="1:23" s="20" customFormat="1" ht="39.5" customHeight="1" x14ac:dyDescent="0.35">
      <c r="A10" s="19"/>
      <c r="D10" s="21"/>
      <c r="E10" s="22"/>
      <c r="F10" s="191" t="s">
        <v>9</v>
      </c>
      <c r="G10" s="191"/>
      <c r="H10" s="13" t="s">
        <v>10</v>
      </c>
      <c r="I10" s="24"/>
      <c r="L10" s="28"/>
      <c r="M10" s="9"/>
      <c r="N10" s="7"/>
      <c r="O10" s="16"/>
      <c r="P10" s="29"/>
      <c r="Q10" s="9"/>
    </row>
    <row r="11" spans="1:23" s="20" customFormat="1" ht="79.5" customHeight="1" x14ac:dyDescent="0.35">
      <c r="A11" s="19"/>
      <c r="D11" s="194" t="s">
        <v>36</v>
      </c>
      <c r="E11" s="195"/>
      <c r="F11" s="195"/>
      <c r="G11" s="32"/>
      <c r="H11" s="13" t="s">
        <v>38</v>
      </c>
      <c r="I11" s="33"/>
      <c r="L11" s="34"/>
      <c r="M11" s="9"/>
      <c r="N11" s="7"/>
      <c r="O11" s="8"/>
      <c r="P11" s="35"/>
      <c r="Q11" s="9" t="s">
        <v>11</v>
      </c>
    </row>
    <row r="12" spans="1:23" s="20" customFormat="1" ht="40" customHeight="1" x14ac:dyDescent="0.35">
      <c r="A12" s="19"/>
      <c r="D12" s="30" t="s">
        <v>37</v>
      </c>
      <c r="E12" s="31"/>
      <c r="F12" s="36"/>
      <c r="G12" s="36"/>
      <c r="H12" s="32"/>
      <c r="I12" s="37"/>
      <c r="L12" s="7"/>
      <c r="M12" s="7"/>
      <c r="N12" s="7"/>
      <c r="O12" s="8"/>
      <c r="P12" s="35"/>
      <c r="Q12" s="9"/>
      <c r="T12" s="20" t="s">
        <v>11</v>
      </c>
    </row>
    <row r="13" spans="1:23" s="20" customFormat="1" ht="36" customHeight="1" x14ac:dyDescent="0.35">
      <c r="A13" s="19"/>
      <c r="D13" s="38"/>
      <c r="E13" s="39"/>
      <c r="F13" s="40"/>
      <c r="G13" s="41"/>
      <c r="H13" s="42"/>
      <c r="I13" s="37"/>
      <c r="L13" s="43" t="s">
        <v>12</v>
      </c>
      <c r="M13" s="44">
        <v>3000</v>
      </c>
      <c r="N13" s="45"/>
      <c r="O13" s="46"/>
      <c r="P13" s="45"/>
      <c r="Q13" s="9"/>
    </row>
    <row r="14" spans="1:23" s="20" customFormat="1" ht="28" customHeight="1" x14ac:dyDescent="0.35">
      <c r="A14" s="47"/>
      <c r="B14" s="47"/>
      <c r="C14" s="47"/>
      <c r="D14" s="192" t="s">
        <v>13</v>
      </c>
      <c r="E14" s="192" t="s">
        <v>14</v>
      </c>
      <c r="F14" s="192" t="s">
        <v>15</v>
      </c>
      <c r="G14" s="192" t="s">
        <v>16</v>
      </c>
      <c r="H14" s="175" t="s">
        <v>17</v>
      </c>
      <c r="I14" s="175" t="s">
        <v>18</v>
      </c>
      <c r="L14" s="48" t="s">
        <v>19</v>
      </c>
      <c r="M14" s="49">
        <v>1.1499999999999999</v>
      </c>
      <c r="N14" s="50"/>
      <c r="O14" s="51" t="s">
        <v>20</v>
      </c>
      <c r="P14" s="51" t="s">
        <v>18</v>
      </c>
      <c r="Q14" s="52"/>
      <c r="R14" s="53"/>
      <c r="W14" s="54"/>
    </row>
    <row r="15" spans="1:23" s="20" customFormat="1" ht="38" customHeight="1" x14ac:dyDescent="0.35">
      <c r="A15" s="47"/>
      <c r="B15" s="47"/>
      <c r="C15" s="47"/>
      <c r="D15" s="192"/>
      <c r="E15" s="192"/>
      <c r="F15" s="192"/>
      <c r="G15" s="193"/>
      <c r="H15" s="176"/>
      <c r="I15" s="176"/>
      <c r="L15" s="48" t="s">
        <v>21</v>
      </c>
      <c r="M15" s="55">
        <v>0.18</v>
      </c>
      <c r="N15" s="56"/>
      <c r="O15" s="57"/>
      <c r="P15" s="58"/>
      <c r="Q15" s="52"/>
      <c r="R15" s="53"/>
    </row>
    <row r="16" spans="1:23" s="20" customFormat="1" ht="33.5" customHeight="1" x14ac:dyDescent="0.35">
      <c r="A16" s="19"/>
      <c r="D16" s="177"/>
      <c r="E16" s="178"/>
      <c r="F16" s="179"/>
      <c r="G16" s="180"/>
      <c r="H16" s="180"/>
      <c r="I16" s="181"/>
      <c r="L16" s="48"/>
      <c r="M16" s="55"/>
      <c r="N16" s="56"/>
      <c r="O16" s="57"/>
      <c r="P16" s="58"/>
      <c r="Q16" s="52"/>
      <c r="R16" s="53"/>
    </row>
    <row r="17" spans="1:18" s="20" customFormat="1" ht="142.5" x14ac:dyDescent="1.1000000000000001">
      <c r="A17" s="19"/>
      <c r="D17" s="59">
        <v>1</v>
      </c>
      <c r="E17" s="108" t="s">
        <v>34</v>
      </c>
      <c r="F17" s="107" t="s">
        <v>90</v>
      </c>
      <c r="G17" s="109">
        <v>1</v>
      </c>
      <c r="H17" s="60">
        <f>O17*M14*M13</f>
        <v>11221316.82</v>
      </c>
      <c r="I17" s="60">
        <f>H17*G17</f>
        <v>11221316.82</v>
      </c>
      <c r="L17" s="48"/>
      <c r="M17" s="55"/>
      <c r="N17" s="56"/>
      <c r="O17" s="61">
        <v>3252.5556000000001</v>
      </c>
      <c r="P17" s="61">
        <f t="shared" ref="P17" si="0">O17*G17</f>
        <v>3252.5556000000001</v>
      </c>
      <c r="Q17" s="52"/>
      <c r="R17" s="53"/>
    </row>
    <row r="18" spans="1:18" s="68" customFormat="1" ht="19.5" customHeight="1" x14ac:dyDescent="1.1000000000000001">
      <c r="A18" s="62"/>
      <c r="B18" s="63"/>
      <c r="C18" s="63"/>
      <c r="D18" s="182"/>
      <c r="E18" s="183"/>
      <c r="F18" s="183"/>
      <c r="G18" s="183"/>
      <c r="H18" s="183"/>
      <c r="I18" s="184"/>
      <c r="J18" s="63"/>
      <c r="K18" s="63"/>
      <c r="L18" s="64"/>
      <c r="M18" s="65"/>
      <c r="N18" s="65"/>
      <c r="O18" s="66"/>
      <c r="P18" s="67"/>
      <c r="R18" s="63"/>
    </row>
    <row r="19" spans="1:18" s="68" customFormat="1" ht="47.5" x14ac:dyDescent="1.1000000000000001">
      <c r="A19" s="62"/>
      <c r="B19" s="63"/>
      <c r="C19" s="63"/>
      <c r="D19" s="69"/>
      <c r="E19" s="70"/>
      <c r="F19" s="70"/>
      <c r="G19" s="70"/>
      <c r="H19" s="71" t="s">
        <v>22</v>
      </c>
      <c r="I19" s="72">
        <f>SUM(I17:I17)</f>
        <v>11221316.82</v>
      </c>
      <c r="J19" s="63"/>
      <c r="K19" s="63"/>
      <c r="L19" s="73"/>
      <c r="M19" s="65"/>
      <c r="N19" s="65"/>
      <c r="O19" s="74" t="s">
        <v>23</v>
      </c>
      <c r="P19" s="75">
        <f>SUM(P17:P17)</f>
        <v>3252.5556000000001</v>
      </c>
      <c r="Q19" s="76">
        <f>P19*M13</f>
        <v>9757666.8000000007</v>
      </c>
      <c r="R19" s="63"/>
    </row>
    <row r="20" spans="1:18" s="68" customFormat="1" ht="47.5" x14ac:dyDescent="1.1000000000000001">
      <c r="A20" s="62"/>
      <c r="B20" s="63"/>
      <c r="C20" s="63"/>
      <c r="D20" s="69"/>
      <c r="E20" s="70"/>
      <c r="F20" s="70"/>
      <c r="G20" s="70"/>
      <c r="H20" s="77" t="s">
        <v>24</v>
      </c>
      <c r="I20" s="72">
        <f>I19*M15</f>
        <v>2019837.0275999999</v>
      </c>
      <c r="J20" s="63"/>
      <c r="K20" s="78" t="s">
        <v>25</v>
      </c>
      <c r="L20" s="79">
        <f>(I19-Q19)</f>
        <v>1463650.0199999996</v>
      </c>
      <c r="M20" s="80">
        <f>L20/Q19</f>
        <v>0.14999999999999994</v>
      </c>
      <c r="N20" s="65"/>
      <c r="O20" s="81" t="s">
        <v>26</v>
      </c>
      <c r="P20" s="75">
        <f>P19*M15</f>
        <v>585.46000800000002</v>
      </c>
      <c r="Q20" s="68" t="s">
        <v>11</v>
      </c>
      <c r="R20" s="63"/>
    </row>
    <row r="21" spans="1:18" s="68" customFormat="1" ht="47.5" x14ac:dyDescent="1.1000000000000001">
      <c r="A21" s="62"/>
      <c r="B21" s="63"/>
      <c r="C21" s="63"/>
      <c r="D21" s="69"/>
      <c r="E21" s="70"/>
      <c r="F21" s="70"/>
      <c r="G21" s="70"/>
      <c r="H21" s="77" t="s">
        <v>27</v>
      </c>
      <c r="I21" s="72">
        <f>SUM(I19:I20)</f>
        <v>13241153.8476</v>
      </c>
      <c r="J21" s="63"/>
      <c r="K21" s="63"/>
      <c r="L21" s="82"/>
      <c r="M21" s="65"/>
      <c r="N21" s="65"/>
      <c r="O21" s="81" t="s">
        <v>28</v>
      </c>
      <c r="P21" s="75">
        <f>SUM(P19:P20)</f>
        <v>3838.0156080000002</v>
      </c>
      <c r="Q21" s="68" t="s">
        <v>11</v>
      </c>
      <c r="R21" s="63"/>
    </row>
    <row r="22" spans="1:18" s="68" customFormat="1" ht="14.5" customHeight="1" x14ac:dyDescent="1.1000000000000001">
      <c r="A22" s="62"/>
      <c r="B22" s="63"/>
      <c r="C22" s="63"/>
      <c r="D22" s="69"/>
      <c r="E22" s="70"/>
      <c r="F22" s="70" t="s">
        <v>11</v>
      </c>
      <c r="G22" s="70"/>
      <c r="H22" s="70"/>
      <c r="I22" s="83"/>
      <c r="J22" s="63"/>
      <c r="K22" s="63"/>
      <c r="L22" s="84" t="s">
        <v>11</v>
      </c>
      <c r="M22" s="63"/>
      <c r="N22" s="63"/>
      <c r="O22" s="85"/>
      <c r="P22" s="63"/>
      <c r="R22" s="63"/>
    </row>
    <row r="23" spans="1:18" s="68" customFormat="1" ht="47.5" customHeight="1" x14ac:dyDescent="1.1000000000000001">
      <c r="A23" s="62"/>
      <c r="B23" s="63"/>
      <c r="C23" s="63"/>
      <c r="D23" s="185" t="s">
        <v>29</v>
      </c>
      <c r="E23" s="186"/>
      <c r="F23" s="186"/>
      <c r="G23" s="70"/>
      <c r="H23" s="70"/>
      <c r="I23" s="83" t="s">
        <v>11</v>
      </c>
      <c r="J23" s="63"/>
      <c r="K23" s="63"/>
      <c r="L23" s="86"/>
      <c r="M23" s="63"/>
      <c r="N23" s="63"/>
      <c r="O23" s="87"/>
      <c r="P23" s="87"/>
      <c r="Q23" s="88"/>
      <c r="R23" s="63"/>
    </row>
    <row r="24" spans="1:18" s="68" customFormat="1" ht="47.5" x14ac:dyDescent="1.1000000000000001">
      <c r="A24" s="62"/>
      <c r="B24" s="63"/>
      <c r="C24" s="63"/>
      <c r="D24" s="89" t="s">
        <v>39</v>
      </c>
      <c r="E24" s="90"/>
      <c r="F24" s="91"/>
      <c r="G24" s="70"/>
      <c r="H24" s="70" t="s">
        <v>11</v>
      </c>
      <c r="I24" s="83"/>
      <c r="J24" s="63"/>
      <c r="K24" s="63"/>
      <c r="L24" s="92"/>
      <c r="M24" s="93"/>
      <c r="N24" s="63"/>
      <c r="O24" s="87"/>
      <c r="P24" s="87"/>
      <c r="Q24" s="88"/>
      <c r="R24" s="63"/>
    </row>
    <row r="25" spans="1:18" s="68" customFormat="1" ht="47.5" x14ac:dyDescent="1.1000000000000001">
      <c r="A25" s="62"/>
      <c r="B25" s="63"/>
      <c r="C25" s="63"/>
      <c r="D25" s="94" t="s">
        <v>30</v>
      </c>
      <c r="E25" s="42"/>
      <c r="F25" s="95"/>
      <c r="G25" s="70"/>
      <c r="H25" s="70"/>
      <c r="I25" s="83"/>
      <c r="J25" s="63"/>
      <c r="K25" s="63"/>
      <c r="L25" s="93"/>
      <c r="M25" s="63"/>
      <c r="N25" s="63"/>
      <c r="O25" s="87"/>
      <c r="P25" s="87"/>
      <c r="Q25" s="88"/>
      <c r="R25" s="63"/>
    </row>
    <row r="26" spans="1:18" s="68" customFormat="1" ht="47.5" x14ac:dyDescent="1.1000000000000001">
      <c r="A26" s="62"/>
      <c r="B26" s="63"/>
      <c r="C26" s="63"/>
      <c r="D26" s="96" t="s">
        <v>31</v>
      </c>
      <c r="E26" s="13"/>
      <c r="F26" s="32"/>
      <c r="G26" s="70"/>
      <c r="H26" s="70"/>
      <c r="I26" s="83"/>
      <c r="J26" s="63"/>
      <c r="K26" s="63"/>
      <c r="L26" s="97"/>
      <c r="M26" s="73"/>
      <c r="N26" s="63"/>
      <c r="O26" s="87"/>
      <c r="P26" s="87"/>
      <c r="Q26" s="88"/>
      <c r="R26" s="63"/>
    </row>
    <row r="27" spans="1:18" s="68" customFormat="1" ht="11.5" customHeight="1" x14ac:dyDescent="1.1000000000000001">
      <c r="A27" s="62"/>
      <c r="B27" s="63"/>
      <c r="C27" s="63"/>
      <c r="D27" s="96"/>
      <c r="E27" s="13"/>
      <c r="F27" s="32"/>
      <c r="G27" s="70"/>
      <c r="H27" s="70"/>
      <c r="I27" s="83"/>
      <c r="J27" s="63"/>
      <c r="K27" s="63"/>
      <c r="L27" s="97"/>
      <c r="M27" s="73"/>
      <c r="N27" s="63"/>
      <c r="O27" s="87"/>
      <c r="P27" s="87"/>
      <c r="Q27" s="88"/>
      <c r="R27" s="63"/>
    </row>
    <row r="28" spans="1:18" s="68" customFormat="1" ht="47.5" x14ac:dyDescent="1.1000000000000001">
      <c r="A28" s="62"/>
      <c r="B28" s="63"/>
      <c r="C28" s="63"/>
      <c r="D28" s="187" t="s">
        <v>32</v>
      </c>
      <c r="E28" s="188"/>
      <c r="F28" s="188"/>
      <c r="G28" s="70"/>
      <c r="H28" s="70"/>
      <c r="I28" s="83"/>
      <c r="J28" s="63"/>
      <c r="K28" s="63"/>
      <c r="L28" s="97"/>
      <c r="M28" s="98"/>
      <c r="N28" s="63"/>
      <c r="O28" s="87"/>
      <c r="P28" s="87"/>
      <c r="Q28" s="88"/>
      <c r="R28" s="63"/>
    </row>
    <row r="29" spans="1:18" s="68" customFormat="1" ht="47.5" x14ac:dyDescent="1.1000000000000001">
      <c r="A29" s="62"/>
      <c r="B29" s="63"/>
      <c r="C29" s="63"/>
      <c r="D29" s="99" t="s">
        <v>33</v>
      </c>
      <c r="E29" s="100"/>
      <c r="F29" s="101"/>
      <c r="G29" s="102"/>
      <c r="H29" s="102"/>
      <c r="I29" s="103"/>
      <c r="J29" s="63"/>
      <c r="K29" s="63"/>
      <c r="L29" s="97"/>
      <c r="M29" s="63"/>
      <c r="N29" s="63"/>
      <c r="O29" s="87"/>
      <c r="P29" s="87"/>
      <c r="Q29" s="88"/>
      <c r="R29" s="63"/>
    </row>
    <row r="30" spans="1:18" ht="47.5" x14ac:dyDescent="0.7">
      <c r="P30" s="105"/>
      <c r="Q30" s="106"/>
    </row>
    <row r="31" spans="1:18" ht="47.5" x14ac:dyDescent="0.7">
      <c r="P31" s="105"/>
      <c r="Q31" s="106"/>
    </row>
  </sheetData>
  <mergeCells count="13">
    <mergeCell ref="D28:F28"/>
    <mergeCell ref="D6:F6"/>
    <mergeCell ref="F10:G10"/>
    <mergeCell ref="D14:D15"/>
    <mergeCell ref="E14:E15"/>
    <mergeCell ref="F14:F15"/>
    <mergeCell ref="G14:G15"/>
    <mergeCell ref="D11:F11"/>
    <mergeCell ref="H14:H15"/>
    <mergeCell ref="I14:I15"/>
    <mergeCell ref="D16:I16"/>
    <mergeCell ref="D18:I18"/>
    <mergeCell ref="D23:F23"/>
  </mergeCells>
  <hyperlinks>
    <hyperlink ref="H8" r:id="rId1" xr:uid="{F752788F-7DA9-440E-A032-44BEC6B63B48}"/>
  </hyperlinks>
  <printOptions horizontalCentered="1"/>
  <pageMargins left="0.26" right="0.17" top="0.74803149606299202" bottom="0.74803149606299202" header="0.31496062992126" footer="0.31496062992126"/>
  <pageSetup paperSize="14" scale="26" fitToHeight="0" orientation="portrait" horizontalDpi="360" verticalDpi="360" r:id="rId2"/>
  <headerFooter>
    <oddFooter xml:space="preserve">&amp;C&amp;"-,Bold Italic"&amp;22DPSL Reg Nº 139505301 | www.dolphin.co.tz | www.dolphin.co.ug
Client shall pay DPSL late charge of 1% of the quote value per day on all payments past due. 
Bank Details: CRDB Bank Plc | Acc # (TZS): 0150446097100 
</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331DD-D64D-4243-A974-3EFB389EA1BA}">
  <dimension ref="A2:AK54"/>
  <sheetViews>
    <sheetView showGridLines="0" zoomScale="51" zoomScaleNormal="75" workbookViewId="0">
      <selection activeCell="D12" sqref="D12"/>
    </sheetView>
  </sheetViews>
  <sheetFormatPr defaultRowHeight="14.5" x14ac:dyDescent="0.35"/>
  <cols>
    <col min="1" max="1" width="8.7265625" style="111"/>
    <col min="2" max="2" width="26" style="112" customWidth="1"/>
    <col min="3" max="3" width="32.26953125" style="113" customWidth="1"/>
    <col min="4" max="4" width="70.54296875" style="111" customWidth="1"/>
    <col min="5" max="5" width="5.26953125" style="113" customWidth="1"/>
    <col min="6" max="6" width="12.26953125" style="112" bestFit="1" customWidth="1"/>
    <col min="7" max="7" width="16.7265625" style="174" customWidth="1"/>
    <col min="8" max="8" width="18.26953125" style="174" bestFit="1" customWidth="1"/>
    <col min="9" max="9" width="17.7265625" style="111" customWidth="1"/>
    <col min="10" max="10" width="15.453125" style="111" customWidth="1"/>
    <col min="11" max="11" width="8.7265625" style="111"/>
    <col min="12" max="12" width="11.54296875" style="111" bestFit="1" customWidth="1"/>
    <col min="13" max="14" width="9.26953125" style="111" bestFit="1" customWidth="1"/>
    <col min="15" max="232" width="8.7265625" style="111"/>
    <col min="233" max="233" width="19.7265625" style="111" bestFit="1" customWidth="1"/>
    <col min="234" max="234" width="21.7265625" style="111" bestFit="1" customWidth="1"/>
    <col min="235" max="235" width="49.26953125" style="111" bestFit="1" customWidth="1"/>
    <col min="236" max="236" width="4.26953125" style="111" bestFit="1" customWidth="1"/>
    <col min="237" max="237" width="8.54296875" style="111" bestFit="1" customWidth="1"/>
    <col min="238" max="238" width="11.26953125" style="111" bestFit="1" customWidth="1"/>
    <col min="239" max="239" width="13.7265625" style="111" bestFit="1" customWidth="1"/>
    <col min="240" max="488" width="8.7265625" style="111"/>
    <col min="489" max="489" width="19.7265625" style="111" bestFit="1" customWidth="1"/>
    <col min="490" max="490" width="21.7265625" style="111" bestFit="1" customWidth="1"/>
    <col min="491" max="491" width="49.26953125" style="111" bestFit="1" customWidth="1"/>
    <col min="492" max="492" width="4.26953125" style="111" bestFit="1" customWidth="1"/>
    <col min="493" max="493" width="8.54296875" style="111" bestFit="1" customWidth="1"/>
    <col min="494" max="494" width="11.26953125" style="111" bestFit="1" customWidth="1"/>
    <col min="495" max="495" width="13.7265625" style="111" bestFit="1" customWidth="1"/>
    <col min="496" max="744" width="8.7265625" style="111"/>
    <col min="745" max="745" width="19.7265625" style="111" bestFit="1" customWidth="1"/>
    <col min="746" max="746" width="21.7265625" style="111" bestFit="1" customWidth="1"/>
    <col min="747" max="747" width="49.26953125" style="111" bestFit="1" customWidth="1"/>
    <col min="748" max="748" width="4.26953125" style="111" bestFit="1" customWidth="1"/>
    <col min="749" max="749" width="8.54296875" style="111" bestFit="1" customWidth="1"/>
    <col min="750" max="750" width="11.26953125" style="111" bestFit="1" customWidth="1"/>
    <col min="751" max="751" width="13.7265625" style="111" bestFit="1" customWidth="1"/>
    <col min="752" max="1000" width="8.7265625" style="111"/>
    <col min="1001" max="1001" width="19.7265625" style="111" bestFit="1" customWidth="1"/>
    <col min="1002" max="1002" width="21.7265625" style="111" bestFit="1" customWidth="1"/>
    <col min="1003" max="1003" width="49.26953125" style="111" bestFit="1" customWidth="1"/>
    <col min="1004" max="1004" width="4.26953125" style="111" bestFit="1" customWidth="1"/>
    <col min="1005" max="1005" width="8.54296875" style="111" bestFit="1" customWidth="1"/>
    <col min="1006" max="1006" width="11.26953125" style="111" bestFit="1" customWidth="1"/>
    <col min="1007" max="1007" width="13.7265625" style="111" bestFit="1" customWidth="1"/>
    <col min="1008" max="1256" width="8.7265625" style="111"/>
    <col min="1257" max="1257" width="19.7265625" style="111" bestFit="1" customWidth="1"/>
    <col min="1258" max="1258" width="21.7265625" style="111" bestFit="1" customWidth="1"/>
    <col min="1259" max="1259" width="49.26953125" style="111" bestFit="1" customWidth="1"/>
    <col min="1260" max="1260" width="4.26953125" style="111" bestFit="1" customWidth="1"/>
    <col min="1261" max="1261" width="8.54296875" style="111" bestFit="1" customWidth="1"/>
    <col min="1262" max="1262" width="11.26953125" style="111" bestFit="1" customWidth="1"/>
    <col min="1263" max="1263" width="13.7265625" style="111" bestFit="1" customWidth="1"/>
    <col min="1264" max="1512" width="8.7265625" style="111"/>
    <col min="1513" max="1513" width="19.7265625" style="111" bestFit="1" customWidth="1"/>
    <col min="1514" max="1514" width="21.7265625" style="111" bestFit="1" customWidth="1"/>
    <col min="1515" max="1515" width="49.26953125" style="111" bestFit="1" customWidth="1"/>
    <col min="1516" max="1516" width="4.26953125" style="111" bestFit="1" customWidth="1"/>
    <col min="1517" max="1517" width="8.54296875" style="111" bestFit="1" customWidth="1"/>
    <col min="1518" max="1518" width="11.26953125" style="111" bestFit="1" customWidth="1"/>
    <col min="1519" max="1519" width="13.7265625" style="111" bestFit="1" customWidth="1"/>
    <col min="1520" max="1768" width="8.7265625" style="111"/>
    <col min="1769" max="1769" width="19.7265625" style="111" bestFit="1" customWidth="1"/>
    <col min="1770" max="1770" width="21.7265625" style="111" bestFit="1" customWidth="1"/>
    <col min="1771" max="1771" width="49.26953125" style="111" bestFit="1" customWidth="1"/>
    <col min="1772" max="1772" width="4.26953125" style="111" bestFit="1" customWidth="1"/>
    <col min="1773" max="1773" width="8.54296875" style="111" bestFit="1" customWidth="1"/>
    <col min="1774" max="1774" width="11.26953125" style="111" bestFit="1" customWidth="1"/>
    <col min="1775" max="1775" width="13.7265625" style="111" bestFit="1" customWidth="1"/>
    <col min="1776" max="2024" width="8.7265625" style="111"/>
    <col min="2025" max="2025" width="19.7265625" style="111" bestFit="1" customWidth="1"/>
    <col min="2026" max="2026" width="21.7265625" style="111" bestFit="1" customWidth="1"/>
    <col min="2027" max="2027" width="49.26953125" style="111" bestFit="1" customWidth="1"/>
    <col min="2028" max="2028" width="4.26953125" style="111" bestFit="1" customWidth="1"/>
    <col min="2029" max="2029" width="8.54296875" style="111" bestFit="1" customWidth="1"/>
    <col min="2030" max="2030" width="11.26953125" style="111" bestFit="1" customWidth="1"/>
    <col min="2031" max="2031" width="13.7265625" style="111" bestFit="1" customWidth="1"/>
    <col min="2032" max="2280" width="8.7265625" style="111"/>
    <col min="2281" max="2281" width="19.7265625" style="111" bestFit="1" customWidth="1"/>
    <col min="2282" max="2282" width="21.7265625" style="111" bestFit="1" customWidth="1"/>
    <col min="2283" max="2283" width="49.26953125" style="111" bestFit="1" customWidth="1"/>
    <col min="2284" max="2284" width="4.26953125" style="111" bestFit="1" customWidth="1"/>
    <col min="2285" max="2285" width="8.54296875" style="111" bestFit="1" customWidth="1"/>
    <col min="2286" max="2286" width="11.26953125" style="111" bestFit="1" customWidth="1"/>
    <col min="2287" max="2287" width="13.7265625" style="111" bestFit="1" customWidth="1"/>
    <col min="2288" max="2536" width="8.7265625" style="111"/>
    <col min="2537" max="2537" width="19.7265625" style="111" bestFit="1" customWidth="1"/>
    <col min="2538" max="2538" width="21.7265625" style="111" bestFit="1" customWidth="1"/>
    <col min="2539" max="2539" width="49.26953125" style="111" bestFit="1" customWidth="1"/>
    <col min="2540" max="2540" width="4.26953125" style="111" bestFit="1" customWidth="1"/>
    <col min="2541" max="2541" width="8.54296875" style="111" bestFit="1" customWidth="1"/>
    <col min="2542" max="2542" width="11.26953125" style="111" bestFit="1" customWidth="1"/>
    <col min="2543" max="2543" width="13.7265625" style="111" bestFit="1" customWidth="1"/>
    <col min="2544" max="2792" width="8.7265625" style="111"/>
    <col min="2793" max="2793" width="19.7265625" style="111" bestFit="1" customWidth="1"/>
    <col min="2794" max="2794" width="21.7265625" style="111" bestFit="1" customWidth="1"/>
    <col min="2795" max="2795" width="49.26953125" style="111" bestFit="1" customWidth="1"/>
    <col min="2796" max="2796" width="4.26953125" style="111" bestFit="1" customWidth="1"/>
    <col min="2797" max="2797" width="8.54296875" style="111" bestFit="1" customWidth="1"/>
    <col min="2798" max="2798" width="11.26953125" style="111" bestFit="1" customWidth="1"/>
    <col min="2799" max="2799" width="13.7265625" style="111" bestFit="1" customWidth="1"/>
    <col min="2800" max="3048" width="8.7265625" style="111"/>
    <col min="3049" max="3049" width="19.7265625" style="111" bestFit="1" customWidth="1"/>
    <col min="3050" max="3050" width="21.7265625" style="111" bestFit="1" customWidth="1"/>
    <col min="3051" max="3051" width="49.26953125" style="111" bestFit="1" customWidth="1"/>
    <col min="3052" max="3052" width="4.26953125" style="111" bestFit="1" customWidth="1"/>
    <col min="3053" max="3053" width="8.54296875" style="111" bestFit="1" customWidth="1"/>
    <col min="3054" max="3054" width="11.26953125" style="111" bestFit="1" customWidth="1"/>
    <col min="3055" max="3055" width="13.7265625" style="111" bestFit="1" customWidth="1"/>
    <col min="3056" max="3304" width="8.7265625" style="111"/>
    <col min="3305" max="3305" width="19.7265625" style="111" bestFit="1" customWidth="1"/>
    <col min="3306" max="3306" width="21.7265625" style="111" bestFit="1" customWidth="1"/>
    <col min="3307" max="3307" width="49.26953125" style="111" bestFit="1" customWidth="1"/>
    <col min="3308" max="3308" width="4.26953125" style="111" bestFit="1" customWidth="1"/>
    <col min="3309" max="3309" width="8.54296875" style="111" bestFit="1" customWidth="1"/>
    <col min="3310" max="3310" width="11.26953125" style="111" bestFit="1" customWidth="1"/>
    <col min="3311" max="3311" width="13.7265625" style="111" bestFit="1" customWidth="1"/>
    <col min="3312" max="3560" width="8.7265625" style="111"/>
    <col min="3561" max="3561" width="19.7265625" style="111" bestFit="1" customWidth="1"/>
    <col min="3562" max="3562" width="21.7265625" style="111" bestFit="1" customWidth="1"/>
    <col min="3563" max="3563" width="49.26953125" style="111" bestFit="1" customWidth="1"/>
    <col min="3564" max="3564" width="4.26953125" style="111" bestFit="1" customWidth="1"/>
    <col min="3565" max="3565" width="8.54296875" style="111" bestFit="1" customWidth="1"/>
    <col min="3566" max="3566" width="11.26953125" style="111" bestFit="1" customWidth="1"/>
    <col min="3567" max="3567" width="13.7265625" style="111" bestFit="1" customWidth="1"/>
    <col min="3568" max="3816" width="8.7265625" style="111"/>
    <col min="3817" max="3817" width="19.7265625" style="111" bestFit="1" customWidth="1"/>
    <col min="3818" max="3818" width="21.7265625" style="111" bestFit="1" customWidth="1"/>
    <col min="3819" max="3819" width="49.26953125" style="111" bestFit="1" customWidth="1"/>
    <col min="3820" max="3820" width="4.26953125" style="111" bestFit="1" customWidth="1"/>
    <col min="3821" max="3821" width="8.54296875" style="111" bestFit="1" customWidth="1"/>
    <col min="3822" max="3822" width="11.26953125" style="111" bestFit="1" customWidth="1"/>
    <col min="3823" max="3823" width="13.7265625" style="111" bestFit="1" customWidth="1"/>
    <col min="3824" max="4072" width="8.7265625" style="111"/>
    <col min="4073" max="4073" width="19.7265625" style="111" bestFit="1" customWidth="1"/>
    <col min="4074" max="4074" width="21.7265625" style="111" bestFit="1" customWidth="1"/>
    <col min="4075" max="4075" width="49.26953125" style="111" bestFit="1" customWidth="1"/>
    <col min="4076" max="4076" width="4.26953125" style="111" bestFit="1" customWidth="1"/>
    <col min="4077" max="4077" width="8.54296875" style="111" bestFit="1" customWidth="1"/>
    <col min="4078" max="4078" width="11.26953125" style="111" bestFit="1" customWidth="1"/>
    <col min="4079" max="4079" width="13.7265625" style="111" bestFit="1" customWidth="1"/>
    <col min="4080" max="4328" width="8.7265625" style="111"/>
    <col min="4329" max="4329" width="19.7265625" style="111" bestFit="1" customWidth="1"/>
    <col min="4330" max="4330" width="21.7265625" style="111" bestFit="1" customWidth="1"/>
    <col min="4331" max="4331" width="49.26953125" style="111" bestFit="1" customWidth="1"/>
    <col min="4332" max="4332" width="4.26953125" style="111" bestFit="1" customWidth="1"/>
    <col min="4333" max="4333" width="8.54296875" style="111" bestFit="1" customWidth="1"/>
    <col min="4334" max="4334" width="11.26953125" style="111" bestFit="1" customWidth="1"/>
    <col min="4335" max="4335" width="13.7265625" style="111" bestFit="1" customWidth="1"/>
    <col min="4336" max="4584" width="8.7265625" style="111"/>
    <col min="4585" max="4585" width="19.7265625" style="111" bestFit="1" customWidth="1"/>
    <col min="4586" max="4586" width="21.7265625" style="111" bestFit="1" customWidth="1"/>
    <col min="4587" max="4587" width="49.26953125" style="111" bestFit="1" customWidth="1"/>
    <col min="4588" max="4588" width="4.26953125" style="111" bestFit="1" customWidth="1"/>
    <col min="4589" max="4589" width="8.54296875" style="111" bestFit="1" customWidth="1"/>
    <col min="4590" max="4590" width="11.26953125" style="111" bestFit="1" customWidth="1"/>
    <col min="4591" max="4591" width="13.7265625" style="111" bestFit="1" customWidth="1"/>
    <col min="4592" max="4840" width="8.7265625" style="111"/>
    <col min="4841" max="4841" width="19.7265625" style="111" bestFit="1" customWidth="1"/>
    <col min="4842" max="4842" width="21.7265625" style="111" bestFit="1" customWidth="1"/>
    <col min="4843" max="4843" width="49.26953125" style="111" bestFit="1" customWidth="1"/>
    <col min="4844" max="4844" width="4.26953125" style="111" bestFit="1" customWidth="1"/>
    <col min="4845" max="4845" width="8.54296875" style="111" bestFit="1" customWidth="1"/>
    <col min="4846" max="4846" width="11.26953125" style="111" bestFit="1" customWidth="1"/>
    <col min="4847" max="4847" width="13.7265625" style="111" bestFit="1" customWidth="1"/>
    <col min="4848" max="5096" width="8.7265625" style="111"/>
    <col min="5097" max="5097" width="19.7265625" style="111" bestFit="1" customWidth="1"/>
    <col min="5098" max="5098" width="21.7265625" style="111" bestFit="1" customWidth="1"/>
    <col min="5099" max="5099" width="49.26953125" style="111" bestFit="1" customWidth="1"/>
    <col min="5100" max="5100" width="4.26953125" style="111" bestFit="1" customWidth="1"/>
    <col min="5101" max="5101" width="8.54296875" style="111" bestFit="1" customWidth="1"/>
    <col min="5102" max="5102" width="11.26953125" style="111" bestFit="1" customWidth="1"/>
    <col min="5103" max="5103" width="13.7265625" style="111" bestFit="1" customWidth="1"/>
    <col min="5104" max="5352" width="8.7265625" style="111"/>
    <col min="5353" max="5353" width="19.7265625" style="111" bestFit="1" customWidth="1"/>
    <col min="5354" max="5354" width="21.7265625" style="111" bestFit="1" customWidth="1"/>
    <col min="5355" max="5355" width="49.26953125" style="111" bestFit="1" customWidth="1"/>
    <col min="5356" max="5356" width="4.26953125" style="111" bestFit="1" customWidth="1"/>
    <col min="5357" max="5357" width="8.54296875" style="111" bestFit="1" customWidth="1"/>
    <col min="5358" max="5358" width="11.26953125" style="111" bestFit="1" customWidth="1"/>
    <col min="5359" max="5359" width="13.7265625" style="111" bestFit="1" customWidth="1"/>
    <col min="5360" max="5608" width="8.7265625" style="111"/>
    <col min="5609" max="5609" width="19.7265625" style="111" bestFit="1" customWidth="1"/>
    <col min="5610" max="5610" width="21.7265625" style="111" bestFit="1" customWidth="1"/>
    <col min="5611" max="5611" width="49.26953125" style="111" bestFit="1" customWidth="1"/>
    <col min="5612" max="5612" width="4.26953125" style="111" bestFit="1" customWidth="1"/>
    <col min="5613" max="5613" width="8.54296875" style="111" bestFit="1" customWidth="1"/>
    <col min="5614" max="5614" width="11.26953125" style="111" bestFit="1" customWidth="1"/>
    <col min="5615" max="5615" width="13.7265625" style="111" bestFit="1" customWidth="1"/>
    <col min="5616" max="5864" width="8.7265625" style="111"/>
    <col min="5865" max="5865" width="19.7265625" style="111" bestFit="1" customWidth="1"/>
    <col min="5866" max="5866" width="21.7265625" style="111" bestFit="1" customWidth="1"/>
    <col min="5867" max="5867" width="49.26953125" style="111" bestFit="1" customWidth="1"/>
    <col min="5868" max="5868" width="4.26953125" style="111" bestFit="1" customWidth="1"/>
    <col min="5869" max="5869" width="8.54296875" style="111" bestFit="1" customWidth="1"/>
    <col min="5870" max="5870" width="11.26953125" style="111" bestFit="1" customWidth="1"/>
    <col min="5871" max="5871" width="13.7265625" style="111" bestFit="1" customWidth="1"/>
    <col min="5872" max="6120" width="8.7265625" style="111"/>
    <col min="6121" max="6121" width="19.7265625" style="111" bestFit="1" customWidth="1"/>
    <col min="6122" max="6122" width="21.7265625" style="111" bestFit="1" customWidth="1"/>
    <col min="6123" max="6123" width="49.26953125" style="111" bestFit="1" customWidth="1"/>
    <col min="6124" max="6124" width="4.26953125" style="111" bestFit="1" customWidth="1"/>
    <col min="6125" max="6125" width="8.54296875" style="111" bestFit="1" customWidth="1"/>
    <col min="6126" max="6126" width="11.26953125" style="111" bestFit="1" customWidth="1"/>
    <col min="6127" max="6127" width="13.7265625" style="111" bestFit="1" customWidth="1"/>
    <col min="6128" max="6376" width="8.7265625" style="111"/>
    <col min="6377" max="6377" width="19.7265625" style="111" bestFit="1" customWidth="1"/>
    <col min="6378" max="6378" width="21.7265625" style="111" bestFit="1" customWidth="1"/>
    <col min="6379" max="6379" width="49.26953125" style="111" bestFit="1" customWidth="1"/>
    <col min="6380" max="6380" width="4.26953125" style="111" bestFit="1" customWidth="1"/>
    <col min="6381" max="6381" width="8.54296875" style="111" bestFit="1" customWidth="1"/>
    <col min="6382" max="6382" width="11.26953125" style="111" bestFit="1" customWidth="1"/>
    <col min="6383" max="6383" width="13.7265625" style="111" bestFit="1" customWidth="1"/>
    <col min="6384" max="6632" width="8.7265625" style="111"/>
    <col min="6633" max="6633" width="19.7265625" style="111" bestFit="1" customWidth="1"/>
    <col min="6634" max="6634" width="21.7265625" style="111" bestFit="1" customWidth="1"/>
    <col min="6635" max="6635" width="49.26953125" style="111" bestFit="1" customWidth="1"/>
    <col min="6636" max="6636" width="4.26953125" style="111" bestFit="1" customWidth="1"/>
    <col min="6637" max="6637" width="8.54296875" style="111" bestFit="1" customWidth="1"/>
    <col min="6638" max="6638" width="11.26953125" style="111" bestFit="1" customWidth="1"/>
    <col min="6639" max="6639" width="13.7265625" style="111" bestFit="1" customWidth="1"/>
    <col min="6640" max="6888" width="8.7265625" style="111"/>
    <col min="6889" max="6889" width="19.7265625" style="111" bestFit="1" customWidth="1"/>
    <col min="6890" max="6890" width="21.7265625" style="111" bestFit="1" customWidth="1"/>
    <col min="6891" max="6891" width="49.26953125" style="111" bestFit="1" customWidth="1"/>
    <col min="6892" max="6892" width="4.26953125" style="111" bestFit="1" customWidth="1"/>
    <col min="6893" max="6893" width="8.54296875" style="111" bestFit="1" customWidth="1"/>
    <col min="6894" max="6894" width="11.26953125" style="111" bestFit="1" customWidth="1"/>
    <col min="6895" max="6895" width="13.7265625" style="111" bestFit="1" customWidth="1"/>
    <col min="6896" max="7144" width="8.7265625" style="111"/>
    <col min="7145" max="7145" width="19.7265625" style="111" bestFit="1" customWidth="1"/>
    <col min="7146" max="7146" width="21.7265625" style="111" bestFit="1" customWidth="1"/>
    <col min="7147" max="7147" width="49.26953125" style="111" bestFit="1" customWidth="1"/>
    <col min="7148" max="7148" width="4.26953125" style="111" bestFit="1" customWidth="1"/>
    <col min="7149" max="7149" width="8.54296875" style="111" bestFit="1" customWidth="1"/>
    <col min="7150" max="7150" width="11.26953125" style="111" bestFit="1" customWidth="1"/>
    <col min="7151" max="7151" width="13.7265625" style="111" bestFit="1" customWidth="1"/>
    <col min="7152" max="7400" width="8.7265625" style="111"/>
    <col min="7401" max="7401" width="19.7265625" style="111" bestFit="1" customWidth="1"/>
    <col min="7402" max="7402" width="21.7265625" style="111" bestFit="1" customWidth="1"/>
    <col min="7403" max="7403" width="49.26953125" style="111" bestFit="1" customWidth="1"/>
    <col min="7404" max="7404" width="4.26953125" style="111" bestFit="1" customWidth="1"/>
    <col min="7405" max="7405" width="8.54296875" style="111" bestFit="1" customWidth="1"/>
    <col min="7406" max="7406" width="11.26953125" style="111" bestFit="1" customWidth="1"/>
    <col min="7407" max="7407" width="13.7265625" style="111" bestFit="1" customWidth="1"/>
    <col min="7408" max="7656" width="8.7265625" style="111"/>
    <col min="7657" max="7657" width="19.7265625" style="111" bestFit="1" customWidth="1"/>
    <col min="7658" max="7658" width="21.7265625" style="111" bestFit="1" customWidth="1"/>
    <col min="7659" max="7659" width="49.26953125" style="111" bestFit="1" customWidth="1"/>
    <col min="7660" max="7660" width="4.26953125" style="111" bestFit="1" customWidth="1"/>
    <col min="7661" max="7661" width="8.54296875" style="111" bestFit="1" customWidth="1"/>
    <col min="7662" max="7662" width="11.26953125" style="111" bestFit="1" customWidth="1"/>
    <col min="7663" max="7663" width="13.7265625" style="111" bestFit="1" customWidth="1"/>
    <col min="7664" max="7912" width="8.7265625" style="111"/>
    <col min="7913" max="7913" width="19.7265625" style="111" bestFit="1" customWidth="1"/>
    <col min="7914" max="7914" width="21.7265625" style="111" bestFit="1" customWidth="1"/>
    <col min="7915" max="7915" width="49.26953125" style="111" bestFit="1" customWidth="1"/>
    <col min="7916" max="7916" width="4.26953125" style="111" bestFit="1" customWidth="1"/>
    <col min="7917" max="7917" width="8.54296875" style="111" bestFit="1" customWidth="1"/>
    <col min="7918" max="7918" width="11.26953125" style="111" bestFit="1" customWidth="1"/>
    <col min="7919" max="7919" width="13.7265625" style="111" bestFit="1" customWidth="1"/>
    <col min="7920" max="8168" width="8.7265625" style="111"/>
    <col min="8169" max="8169" width="19.7265625" style="111" bestFit="1" customWidth="1"/>
    <col min="8170" max="8170" width="21.7265625" style="111" bestFit="1" customWidth="1"/>
    <col min="8171" max="8171" width="49.26953125" style="111" bestFit="1" customWidth="1"/>
    <col min="8172" max="8172" width="4.26953125" style="111" bestFit="1" customWidth="1"/>
    <col min="8173" max="8173" width="8.54296875" style="111" bestFit="1" customWidth="1"/>
    <col min="8174" max="8174" width="11.26953125" style="111" bestFit="1" customWidth="1"/>
    <col min="8175" max="8175" width="13.7265625" style="111" bestFit="1" customWidth="1"/>
    <col min="8176" max="8424" width="8.7265625" style="111"/>
    <col min="8425" max="8425" width="19.7265625" style="111" bestFit="1" customWidth="1"/>
    <col min="8426" max="8426" width="21.7265625" style="111" bestFit="1" customWidth="1"/>
    <col min="8427" max="8427" width="49.26953125" style="111" bestFit="1" customWidth="1"/>
    <col min="8428" max="8428" width="4.26953125" style="111" bestFit="1" customWidth="1"/>
    <col min="8429" max="8429" width="8.54296875" style="111" bestFit="1" customWidth="1"/>
    <col min="8430" max="8430" width="11.26953125" style="111" bestFit="1" customWidth="1"/>
    <col min="8431" max="8431" width="13.7265625" style="111" bestFit="1" customWidth="1"/>
    <col min="8432" max="8680" width="8.7265625" style="111"/>
    <col min="8681" max="8681" width="19.7265625" style="111" bestFit="1" customWidth="1"/>
    <col min="8682" max="8682" width="21.7265625" style="111" bestFit="1" customWidth="1"/>
    <col min="8683" max="8683" width="49.26953125" style="111" bestFit="1" customWidth="1"/>
    <col min="8684" max="8684" width="4.26953125" style="111" bestFit="1" customWidth="1"/>
    <col min="8685" max="8685" width="8.54296875" style="111" bestFit="1" customWidth="1"/>
    <col min="8686" max="8686" width="11.26953125" style="111" bestFit="1" customWidth="1"/>
    <col min="8687" max="8687" width="13.7265625" style="111" bestFit="1" customWidth="1"/>
    <col min="8688" max="8936" width="8.7265625" style="111"/>
    <col min="8937" max="8937" width="19.7265625" style="111" bestFit="1" customWidth="1"/>
    <col min="8938" max="8938" width="21.7265625" style="111" bestFit="1" customWidth="1"/>
    <col min="8939" max="8939" width="49.26953125" style="111" bestFit="1" customWidth="1"/>
    <col min="8940" max="8940" width="4.26953125" style="111" bestFit="1" customWidth="1"/>
    <col min="8941" max="8941" width="8.54296875" style="111" bestFit="1" customWidth="1"/>
    <col min="8942" max="8942" width="11.26953125" style="111" bestFit="1" customWidth="1"/>
    <col min="8943" max="8943" width="13.7265625" style="111" bestFit="1" customWidth="1"/>
    <col min="8944" max="9192" width="8.7265625" style="111"/>
    <col min="9193" max="9193" width="19.7265625" style="111" bestFit="1" customWidth="1"/>
    <col min="9194" max="9194" width="21.7265625" style="111" bestFit="1" customWidth="1"/>
    <col min="9195" max="9195" width="49.26953125" style="111" bestFit="1" customWidth="1"/>
    <col min="9196" max="9196" width="4.26953125" style="111" bestFit="1" customWidth="1"/>
    <col min="9197" max="9197" width="8.54296875" style="111" bestFit="1" customWidth="1"/>
    <col min="9198" max="9198" width="11.26953125" style="111" bestFit="1" customWidth="1"/>
    <col min="9199" max="9199" width="13.7265625" style="111" bestFit="1" customWidth="1"/>
    <col min="9200" max="9448" width="8.7265625" style="111"/>
    <col min="9449" max="9449" width="19.7265625" style="111" bestFit="1" customWidth="1"/>
    <col min="9450" max="9450" width="21.7265625" style="111" bestFit="1" customWidth="1"/>
    <col min="9451" max="9451" width="49.26953125" style="111" bestFit="1" customWidth="1"/>
    <col min="9452" max="9452" width="4.26953125" style="111" bestFit="1" customWidth="1"/>
    <col min="9453" max="9453" width="8.54296875" style="111" bestFit="1" customWidth="1"/>
    <col min="9454" max="9454" width="11.26953125" style="111" bestFit="1" customWidth="1"/>
    <col min="9455" max="9455" width="13.7265625" style="111" bestFit="1" customWidth="1"/>
    <col min="9456" max="9704" width="8.7265625" style="111"/>
    <col min="9705" max="9705" width="19.7265625" style="111" bestFit="1" customWidth="1"/>
    <col min="9706" max="9706" width="21.7265625" style="111" bestFit="1" customWidth="1"/>
    <col min="9707" max="9707" width="49.26953125" style="111" bestFit="1" customWidth="1"/>
    <col min="9708" max="9708" width="4.26953125" style="111" bestFit="1" customWidth="1"/>
    <col min="9709" max="9709" width="8.54296875" style="111" bestFit="1" customWidth="1"/>
    <col min="9710" max="9710" width="11.26953125" style="111" bestFit="1" customWidth="1"/>
    <col min="9711" max="9711" width="13.7265625" style="111" bestFit="1" customWidth="1"/>
    <col min="9712" max="9960" width="8.7265625" style="111"/>
    <col min="9961" max="9961" width="19.7265625" style="111" bestFit="1" customWidth="1"/>
    <col min="9962" max="9962" width="21.7265625" style="111" bestFit="1" customWidth="1"/>
    <col min="9963" max="9963" width="49.26953125" style="111" bestFit="1" customWidth="1"/>
    <col min="9964" max="9964" width="4.26953125" style="111" bestFit="1" customWidth="1"/>
    <col min="9965" max="9965" width="8.54296875" style="111" bestFit="1" customWidth="1"/>
    <col min="9966" max="9966" width="11.26953125" style="111" bestFit="1" customWidth="1"/>
    <col min="9967" max="9967" width="13.7265625" style="111" bestFit="1" customWidth="1"/>
    <col min="9968" max="10216" width="8.7265625" style="111"/>
    <col min="10217" max="10217" width="19.7265625" style="111" bestFit="1" customWidth="1"/>
    <col min="10218" max="10218" width="21.7265625" style="111" bestFit="1" customWidth="1"/>
    <col min="10219" max="10219" width="49.26953125" style="111" bestFit="1" customWidth="1"/>
    <col min="10220" max="10220" width="4.26953125" style="111" bestFit="1" customWidth="1"/>
    <col min="10221" max="10221" width="8.54296875" style="111" bestFit="1" customWidth="1"/>
    <col min="10222" max="10222" width="11.26953125" style="111" bestFit="1" customWidth="1"/>
    <col min="10223" max="10223" width="13.7265625" style="111" bestFit="1" customWidth="1"/>
    <col min="10224" max="10472" width="8.7265625" style="111"/>
    <col min="10473" max="10473" width="19.7265625" style="111" bestFit="1" customWidth="1"/>
    <col min="10474" max="10474" width="21.7265625" style="111" bestFit="1" customWidth="1"/>
    <col min="10475" max="10475" width="49.26953125" style="111" bestFit="1" customWidth="1"/>
    <col min="10476" max="10476" width="4.26953125" style="111" bestFit="1" customWidth="1"/>
    <col min="10477" max="10477" width="8.54296875" style="111" bestFit="1" customWidth="1"/>
    <col min="10478" max="10478" width="11.26953125" style="111" bestFit="1" customWidth="1"/>
    <col min="10479" max="10479" width="13.7265625" style="111" bestFit="1" customWidth="1"/>
    <col min="10480" max="10728" width="8.7265625" style="111"/>
    <col min="10729" max="10729" width="19.7265625" style="111" bestFit="1" customWidth="1"/>
    <col min="10730" max="10730" width="21.7265625" style="111" bestFit="1" customWidth="1"/>
    <col min="10731" max="10731" width="49.26953125" style="111" bestFit="1" customWidth="1"/>
    <col min="10732" max="10732" width="4.26953125" style="111" bestFit="1" customWidth="1"/>
    <col min="10733" max="10733" width="8.54296875" style="111" bestFit="1" customWidth="1"/>
    <col min="10734" max="10734" width="11.26953125" style="111" bestFit="1" customWidth="1"/>
    <col min="10735" max="10735" width="13.7265625" style="111" bestFit="1" customWidth="1"/>
    <col min="10736" max="10984" width="8.7265625" style="111"/>
    <col min="10985" max="10985" width="19.7265625" style="111" bestFit="1" customWidth="1"/>
    <col min="10986" max="10986" width="21.7265625" style="111" bestFit="1" customWidth="1"/>
    <col min="10987" max="10987" width="49.26953125" style="111" bestFit="1" customWidth="1"/>
    <col min="10988" max="10988" width="4.26953125" style="111" bestFit="1" customWidth="1"/>
    <col min="10989" max="10989" width="8.54296875" style="111" bestFit="1" customWidth="1"/>
    <col min="10990" max="10990" width="11.26953125" style="111" bestFit="1" customWidth="1"/>
    <col min="10991" max="10991" width="13.7265625" style="111" bestFit="1" customWidth="1"/>
    <col min="10992" max="11240" width="8.7265625" style="111"/>
    <col min="11241" max="11241" width="19.7265625" style="111" bestFit="1" customWidth="1"/>
    <col min="11242" max="11242" width="21.7265625" style="111" bestFit="1" customWidth="1"/>
    <col min="11243" max="11243" width="49.26953125" style="111" bestFit="1" customWidth="1"/>
    <col min="11244" max="11244" width="4.26953125" style="111" bestFit="1" customWidth="1"/>
    <col min="11245" max="11245" width="8.54296875" style="111" bestFit="1" customWidth="1"/>
    <col min="11246" max="11246" width="11.26953125" style="111" bestFit="1" customWidth="1"/>
    <col min="11247" max="11247" width="13.7265625" style="111" bestFit="1" customWidth="1"/>
    <col min="11248" max="11496" width="8.7265625" style="111"/>
    <col min="11497" max="11497" width="19.7265625" style="111" bestFit="1" customWidth="1"/>
    <col min="11498" max="11498" width="21.7265625" style="111" bestFit="1" customWidth="1"/>
    <col min="11499" max="11499" width="49.26953125" style="111" bestFit="1" customWidth="1"/>
    <col min="11500" max="11500" width="4.26953125" style="111" bestFit="1" customWidth="1"/>
    <col min="11501" max="11501" width="8.54296875" style="111" bestFit="1" customWidth="1"/>
    <col min="11502" max="11502" width="11.26953125" style="111" bestFit="1" customWidth="1"/>
    <col min="11503" max="11503" width="13.7265625" style="111" bestFit="1" customWidth="1"/>
    <col min="11504" max="11752" width="8.7265625" style="111"/>
    <col min="11753" max="11753" width="19.7265625" style="111" bestFit="1" customWidth="1"/>
    <col min="11754" max="11754" width="21.7265625" style="111" bestFit="1" customWidth="1"/>
    <col min="11755" max="11755" width="49.26953125" style="111" bestFit="1" customWidth="1"/>
    <col min="11756" max="11756" width="4.26953125" style="111" bestFit="1" customWidth="1"/>
    <col min="11757" max="11757" width="8.54296875" style="111" bestFit="1" customWidth="1"/>
    <col min="11758" max="11758" width="11.26953125" style="111" bestFit="1" customWidth="1"/>
    <col min="11759" max="11759" width="13.7265625" style="111" bestFit="1" customWidth="1"/>
    <col min="11760" max="12008" width="8.7265625" style="111"/>
    <col min="12009" max="12009" width="19.7265625" style="111" bestFit="1" customWidth="1"/>
    <col min="12010" max="12010" width="21.7265625" style="111" bestFit="1" customWidth="1"/>
    <col min="12011" max="12011" width="49.26953125" style="111" bestFit="1" customWidth="1"/>
    <col min="12012" max="12012" width="4.26953125" style="111" bestFit="1" customWidth="1"/>
    <col min="12013" max="12013" width="8.54296875" style="111" bestFit="1" customWidth="1"/>
    <col min="12014" max="12014" width="11.26953125" style="111" bestFit="1" customWidth="1"/>
    <col min="12015" max="12015" width="13.7265625" style="111" bestFit="1" customWidth="1"/>
    <col min="12016" max="12264" width="8.7265625" style="111"/>
    <col min="12265" max="12265" width="19.7265625" style="111" bestFit="1" customWidth="1"/>
    <col min="12266" max="12266" width="21.7265625" style="111" bestFit="1" customWidth="1"/>
    <col min="12267" max="12267" width="49.26953125" style="111" bestFit="1" customWidth="1"/>
    <col min="12268" max="12268" width="4.26953125" style="111" bestFit="1" customWidth="1"/>
    <col min="12269" max="12269" width="8.54296875" style="111" bestFit="1" customWidth="1"/>
    <col min="12270" max="12270" width="11.26953125" style="111" bestFit="1" customWidth="1"/>
    <col min="12271" max="12271" width="13.7265625" style="111" bestFit="1" customWidth="1"/>
    <col min="12272" max="12520" width="8.7265625" style="111"/>
    <col min="12521" max="12521" width="19.7265625" style="111" bestFit="1" customWidth="1"/>
    <col min="12522" max="12522" width="21.7265625" style="111" bestFit="1" customWidth="1"/>
    <col min="12523" max="12523" width="49.26953125" style="111" bestFit="1" customWidth="1"/>
    <col min="12524" max="12524" width="4.26953125" style="111" bestFit="1" customWidth="1"/>
    <col min="12525" max="12525" width="8.54296875" style="111" bestFit="1" customWidth="1"/>
    <col min="12526" max="12526" width="11.26953125" style="111" bestFit="1" customWidth="1"/>
    <col min="12527" max="12527" width="13.7265625" style="111" bestFit="1" customWidth="1"/>
    <col min="12528" max="12776" width="8.7265625" style="111"/>
    <col min="12777" max="12777" width="19.7265625" style="111" bestFit="1" customWidth="1"/>
    <col min="12778" max="12778" width="21.7265625" style="111" bestFit="1" customWidth="1"/>
    <col min="12779" max="12779" width="49.26953125" style="111" bestFit="1" customWidth="1"/>
    <col min="12780" max="12780" width="4.26953125" style="111" bestFit="1" customWidth="1"/>
    <col min="12781" max="12781" width="8.54296875" style="111" bestFit="1" customWidth="1"/>
    <col min="12782" max="12782" width="11.26953125" style="111" bestFit="1" customWidth="1"/>
    <col min="12783" max="12783" width="13.7265625" style="111" bestFit="1" customWidth="1"/>
    <col min="12784" max="13032" width="8.7265625" style="111"/>
    <col min="13033" max="13033" width="19.7265625" style="111" bestFit="1" customWidth="1"/>
    <col min="13034" max="13034" width="21.7265625" style="111" bestFit="1" customWidth="1"/>
    <col min="13035" max="13035" width="49.26953125" style="111" bestFit="1" customWidth="1"/>
    <col min="13036" max="13036" width="4.26953125" style="111" bestFit="1" customWidth="1"/>
    <col min="13037" max="13037" width="8.54296875" style="111" bestFit="1" customWidth="1"/>
    <col min="13038" max="13038" width="11.26953125" style="111" bestFit="1" customWidth="1"/>
    <col min="13039" max="13039" width="13.7265625" style="111" bestFit="1" customWidth="1"/>
    <col min="13040" max="13288" width="8.7265625" style="111"/>
    <col min="13289" max="13289" width="19.7265625" style="111" bestFit="1" customWidth="1"/>
    <col min="13290" max="13290" width="21.7265625" style="111" bestFit="1" customWidth="1"/>
    <col min="13291" max="13291" width="49.26953125" style="111" bestFit="1" customWidth="1"/>
    <col min="13292" max="13292" width="4.26953125" style="111" bestFit="1" customWidth="1"/>
    <col min="13293" max="13293" width="8.54296875" style="111" bestFit="1" customWidth="1"/>
    <col min="13294" max="13294" width="11.26953125" style="111" bestFit="1" customWidth="1"/>
    <col min="13295" max="13295" width="13.7265625" style="111" bestFit="1" customWidth="1"/>
    <col min="13296" max="13544" width="8.7265625" style="111"/>
    <col min="13545" max="13545" width="19.7265625" style="111" bestFit="1" customWidth="1"/>
    <col min="13546" max="13546" width="21.7265625" style="111" bestFit="1" customWidth="1"/>
    <col min="13547" max="13547" width="49.26953125" style="111" bestFit="1" customWidth="1"/>
    <col min="13548" max="13548" width="4.26953125" style="111" bestFit="1" customWidth="1"/>
    <col min="13549" max="13549" width="8.54296875" style="111" bestFit="1" customWidth="1"/>
    <col min="13550" max="13550" width="11.26953125" style="111" bestFit="1" customWidth="1"/>
    <col min="13551" max="13551" width="13.7265625" style="111" bestFit="1" customWidth="1"/>
    <col min="13552" max="13800" width="8.7265625" style="111"/>
    <col min="13801" max="13801" width="19.7265625" style="111" bestFit="1" customWidth="1"/>
    <col min="13802" max="13802" width="21.7265625" style="111" bestFit="1" customWidth="1"/>
    <col min="13803" max="13803" width="49.26953125" style="111" bestFit="1" customWidth="1"/>
    <col min="13804" max="13804" width="4.26953125" style="111" bestFit="1" customWidth="1"/>
    <col min="13805" max="13805" width="8.54296875" style="111" bestFit="1" customWidth="1"/>
    <col min="13806" max="13806" width="11.26953125" style="111" bestFit="1" customWidth="1"/>
    <col min="13807" max="13807" width="13.7265625" style="111" bestFit="1" customWidth="1"/>
    <col min="13808" max="14056" width="8.7265625" style="111"/>
    <col min="14057" max="14057" width="19.7265625" style="111" bestFit="1" customWidth="1"/>
    <col min="14058" max="14058" width="21.7265625" style="111" bestFit="1" customWidth="1"/>
    <col min="14059" max="14059" width="49.26953125" style="111" bestFit="1" customWidth="1"/>
    <col min="14060" max="14060" width="4.26953125" style="111" bestFit="1" customWidth="1"/>
    <col min="14061" max="14061" width="8.54296875" style="111" bestFit="1" customWidth="1"/>
    <col min="14062" max="14062" width="11.26953125" style="111" bestFit="1" customWidth="1"/>
    <col min="14063" max="14063" width="13.7265625" style="111" bestFit="1" customWidth="1"/>
    <col min="14064" max="14312" width="8.7265625" style="111"/>
    <col min="14313" max="14313" width="19.7265625" style="111" bestFit="1" customWidth="1"/>
    <col min="14314" max="14314" width="21.7265625" style="111" bestFit="1" customWidth="1"/>
    <col min="14315" max="14315" width="49.26953125" style="111" bestFit="1" customWidth="1"/>
    <col min="14316" max="14316" width="4.26953125" style="111" bestFit="1" customWidth="1"/>
    <col min="14317" max="14317" width="8.54296875" style="111" bestFit="1" customWidth="1"/>
    <col min="14318" max="14318" width="11.26953125" style="111" bestFit="1" customWidth="1"/>
    <col min="14319" max="14319" width="13.7265625" style="111" bestFit="1" customWidth="1"/>
    <col min="14320" max="14568" width="8.7265625" style="111"/>
    <col min="14569" max="14569" width="19.7265625" style="111" bestFit="1" customWidth="1"/>
    <col min="14570" max="14570" width="21.7265625" style="111" bestFit="1" customWidth="1"/>
    <col min="14571" max="14571" width="49.26953125" style="111" bestFit="1" customWidth="1"/>
    <col min="14572" max="14572" width="4.26953125" style="111" bestFit="1" customWidth="1"/>
    <col min="14573" max="14573" width="8.54296875" style="111" bestFit="1" customWidth="1"/>
    <col min="14574" max="14574" width="11.26953125" style="111" bestFit="1" customWidth="1"/>
    <col min="14575" max="14575" width="13.7265625" style="111" bestFit="1" customWidth="1"/>
    <col min="14576" max="14824" width="8.7265625" style="111"/>
    <col min="14825" max="14825" width="19.7265625" style="111" bestFit="1" customWidth="1"/>
    <col min="14826" max="14826" width="21.7265625" style="111" bestFit="1" customWidth="1"/>
    <col min="14827" max="14827" width="49.26953125" style="111" bestFit="1" customWidth="1"/>
    <col min="14828" max="14828" width="4.26953125" style="111" bestFit="1" customWidth="1"/>
    <col min="14829" max="14829" width="8.54296875" style="111" bestFit="1" customWidth="1"/>
    <col min="14830" max="14830" width="11.26953125" style="111" bestFit="1" customWidth="1"/>
    <col min="14831" max="14831" width="13.7265625" style="111" bestFit="1" customWidth="1"/>
    <col min="14832" max="15080" width="8.7265625" style="111"/>
    <col min="15081" max="15081" width="19.7265625" style="111" bestFit="1" customWidth="1"/>
    <col min="15082" max="15082" width="21.7265625" style="111" bestFit="1" customWidth="1"/>
    <col min="15083" max="15083" width="49.26953125" style="111" bestFit="1" customWidth="1"/>
    <col min="15084" max="15084" width="4.26953125" style="111" bestFit="1" customWidth="1"/>
    <col min="15085" max="15085" width="8.54296875" style="111" bestFit="1" customWidth="1"/>
    <col min="15086" max="15086" width="11.26953125" style="111" bestFit="1" customWidth="1"/>
    <col min="15087" max="15087" width="13.7265625" style="111" bestFit="1" customWidth="1"/>
    <col min="15088" max="15336" width="8.7265625" style="111"/>
    <col min="15337" max="15337" width="19.7265625" style="111" bestFit="1" customWidth="1"/>
    <col min="15338" max="15338" width="21.7265625" style="111" bestFit="1" customWidth="1"/>
    <col min="15339" max="15339" width="49.26953125" style="111" bestFit="1" customWidth="1"/>
    <col min="15340" max="15340" width="4.26953125" style="111" bestFit="1" customWidth="1"/>
    <col min="15341" max="15341" width="8.54296875" style="111" bestFit="1" customWidth="1"/>
    <col min="15342" max="15342" width="11.26953125" style="111" bestFit="1" customWidth="1"/>
    <col min="15343" max="15343" width="13.7265625" style="111" bestFit="1" customWidth="1"/>
    <col min="15344" max="15592" width="8.7265625" style="111"/>
    <col min="15593" max="15593" width="19.7265625" style="111" bestFit="1" customWidth="1"/>
    <col min="15594" max="15594" width="21.7265625" style="111" bestFit="1" customWidth="1"/>
    <col min="15595" max="15595" width="49.26953125" style="111" bestFit="1" customWidth="1"/>
    <col min="15596" max="15596" width="4.26953125" style="111" bestFit="1" customWidth="1"/>
    <col min="15597" max="15597" width="8.54296875" style="111" bestFit="1" customWidth="1"/>
    <col min="15598" max="15598" width="11.26953125" style="111" bestFit="1" customWidth="1"/>
    <col min="15599" max="15599" width="13.7265625" style="111" bestFit="1" customWidth="1"/>
    <col min="15600" max="15848" width="8.7265625" style="111"/>
    <col min="15849" max="15849" width="19.7265625" style="111" bestFit="1" customWidth="1"/>
    <col min="15850" max="15850" width="21.7265625" style="111" bestFit="1" customWidth="1"/>
    <col min="15851" max="15851" width="49.26953125" style="111" bestFit="1" customWidth="1"/>
    <col min="15852" max="15852" width="4.26953125" style="111" bestFit="1" customWidth="1"/>
    <col min="15853" max="15853" width="8.54296875" style="111" bestFit="1" customWidth="1"/>
    <col min="15854" max="15854" width="11.26953125" style="111" bestFit="1" customWidth="1"/>
    <col min="15855" max="15855" width="13.7265625" style="111" bestFit="1" customWidth="1"/>
    <col min="15856" max="16104" width="8.7265625" style="111"/>
    <col min="16105" max="16105" width="19.7265625" style="111" bestFit="1" customWidth="1"/>
    <col min="16106" max="16106" width="21.7265625" style="111" bestFit="1" customWidth="1"/>
    <col min="16107" max="16107" width="49.26953125" style="111" bestFit="1" customWidth="1"/>
    <col min="16108" max="16108" width="4.26953125" style="111" bestFit="1" customWidth="1"/>
    <col min="16109" max="16109" width="8.54296875" style="111" bestFit="1" customWidth="1"/>
    <col min="16110" max="16110" width="11.26953125" style="111" bestFit="1" customWidth="1"/>
    <col min="16111" max="16111" width="13.7265625" style="111" bestFit="1" customWidth="1"/>
    <col min="16112" max="16384" width="8.7265625" style="111"/>
  </cols>
  <sheetData>
    <row r="2" spans="1:37" x14ac:dyDescent="0.35">
      <c r="D2" s="214" t="s">
        <v>40</v>
      </c>
      <c r="E2" s="214"/>
      <c r="F2" s="215"/>
      <c r="G2" s="216" t="s">
        <v>41</v>
      </c>
      <c r="H2" s="217"/>
    </row>
    <row r="3" spans="1:37" ht="29" x14ac:dyDescent="0.35">
      <c r="D3" s="214"/>
      <c r="E3" s="214"/>
      <c r="F3" s="215"/>
      <c r="G3" s="114" t="s">
        <v>42</v>
      </c>
      <c r="H3" s="115" t="str">
        <f>D6</f>
        <v>ASSEMBLE INSURANCE</v>
      </c>
    </row>
    <row r="4" spans="1:37" x14ac:dyDescent="0.35">
      <c r="G4" s="116" t="s">
        <v>43</v>
      </c>
      <c r="H4" s="117">
        <f ca="1">TODAY()</f>
        <v>46112</v>
      </c>
    </row>
    <row r="5" spans="1:37" x14ac:dyDescent="0.35">
      <c r="B5" s="118"/>
      <c r="C5" s="119" t="s">
        <v>44</v>
      </c>
      <c r="D5" s="120" t="s">
        <v>45</v>
      </c>
      <c r="E5" s="121"/>
      <c r="F5" s="122"/>
      <c r="G5" s="116" t="s">
        <v>46</v>
      </c>
      <c r="H5" s="123"/>
    </row>
    <row r="6" spans="1:37" x14ac:dyDescent="0.35">
      <c r="B6" s="118"/>
      <c r="C6" s="119" t="s">
        <v>47</v>
      </c>
      <c r="D6" s="120" t="s">
        <v>48</v>
      </c>
      <c r="E6" s="121"/>
      <c r="F6" s="122"/>
      <c r="G6" s="124"/>
      <c r="H6" s="123"/>
    </row>
    <row r="7" spans="1:37" x14ac:dyDescent="0.35">
      <c r="B7" s="113"/>
      <c r="D7" s="125"/>
      <c r="E7" s="112"/>
      <c r="F7" s="126"/>
      <c r="G7" s="126"/>
      <c r="H7" s="111"/>
    </row>
    <row r="8" spans="1:37" x14ac:dyDescent="0.35">
      <c r="B8" s="113"/>
      <c r="D8" s="113"/>
      <c r="E8" s="112"/>
      <c r="F8" s="126"/>
      <c r="G8" s="126"/>
      <c r="H8" s="111"/>
    </row>
    <row r="9" spans="1:37" x14ac:dyDescent="0.35">
      <c r="A9" s="127" t="s">
        <v>49</v>
      </c>
      <c r="B9" s="127" t="s">
        <v>50</v>
      </c>
      <c r="C9" s="128" t="s">
        <v>51</v>
      </c>
      <c r="D9" s="128" t="s">
        <v>52</v>
      </c>
      <c r="E9" s="129" t="s">
        <v>53</v>
      </c>
      <c r="F9" s="129" t="s">
        <v>54</v>
      </c>
      <c r="G9" s="129" t="s">
        <v>55</v>
      </c>
      <c r="H9" s="130"/>
      <c r="I9" s="130"/>
      <c r="J9" s="130"/>
    </row>
    <row r="10" spans="1:37" s="138" customFormat="1" x14ac:dyDescent="0.35">
      <c r="A10" s="131"/>
      <c r="B10" s="132"/>
      <c r="C10" s="218" t="s">
        <v>56</v>
      </c>
      <c r="D10" s="219"/>
      <c r="E10" s="133"/>
      <c r="F10" s="134"/>
      <c r="G10" s="135"/>
      <c r="H10" s="136"/>
      <c r="I10" s="137"/>
      <c r="J10" s="137"/>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row>
    <row r="11" spans="1:37" s="138" customFormat="1" x14ac:dyDescent="0.35">
      <c r="A11" s="131"/>
      <c r="B11" s="132"/>
      <c r="C11" s="218" t="s">
        <v>57</v>
      </c>
      <c r="D11" s="219"/>
      <c r="E11" s="133"/>
      <c r="F11" s="134"/>
      <c r="G11" s="135"/>
      <c r="H11" s="136"/>
      <c r="I11" s="137"/>
      <c r="J11" s="139"/>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row>
    <row r="12" spans="1:37" s="138" customFormat="1" ht="29" x14ac:dyDescent="0.35">
      <c r="A12" s="131"/>
      <c r="B12" s="140" t="s">
        <v>34</v>
      </c>
      <c r="C12" s="140" t="s">
        <v>58</v>
      </c>
      <c r="D12" s="141" t="s">
        <v>35</v>
      </c>
      <c r="E12" s="142">
        <v>1</v>
      </c>
      <c r="F12" s="110">
        <v>3252.5556000000001</v>
      </c>
      <c r="G12" s="143">
        <f>E12*F12</f>
        <v>3252.5556000000001</v>
      </c>
      <c r="H12" s="136"/>
      <c r="I12" s="137"/>
      <c r="J12" s="139"/>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row>
    <row r="13" spans="1:37" s="138" customFormat="1" x14ac:dyDescent="0.35">
      <c r="A13" s="131"/>
      <c r="B13" s="132"/>
      <c r="C13" s="132"/>
      <c r="D13" s="132"/>
      <c r="E13" s="133"/>
      <c r="F13" s="134"/>
      <c r="G13" s="135"/>
      <c r="H13" s="136"/>
      <c r="I13" s="137"/>
      <c r="J13" s="139"/>
      <c r="K13" s="111"/>
      <c r="L13" s="111"/>
      <c r="M13" s="111"/>
      <c r="N13" s="111"/>
      <c r="O13" s="111"/>
      <c r="P13" s="111"/>
      <c r="Q13" s="111"/>
      <c r="R13" s="111"/>
      <c r="S13" s="111"/>
      <c r="T13" s="111"/>
      <c r="U13" s="111"/>
      <c r="V13" s="111"/>
      <c r="W13" s="111"/>
      <c r="X13" s="111"/>
      <c r="Y13" s="111"/>
      <c r="Z13" s="111"/>
      <c r="AA13" s="111"/>
      <c r="AB13" s="111"/>
      <c r="AC13" s="111"/>
      <c r="AD13" s="111"/>
      <c r="AE13" s="111"/>
      <c r="AF13" s="111"/>
      <c r="AG13" s="111"/>
      <c r="AH13" s="111"/>
      <c r="AI13" s="111"/>
      <c r="AJ13" s="111"/>
      <c r="AK13" s="111"/>
    </row>
    <row r="14" spans="1:37" s="138" customFormat="1" x14ac:dyDescent="0.35">
      <c r="A14" s="131"/>
      <c r="B14" s="132"/>
      <c r="C14" s="132"/>
      <c r="D14" s="132"/>
      <c r="E14" s="133"/>
      <c r="F14" s="134"/>
      <c r="G14" s="135"/>
      <c r="H14" s="136"/>
      <c r="I14" s="137"/>
      <c r="J14" s="139"/>
      <c r="K14" s="111"/>
      <c r="L14" s="111"/>
      <c r="M14" s="111"/>
      <c r="N14" s="111"/>
      <c r="O14" s="111"/>
      <c r="P14" s="111"/>
      <c r="Q14" s="111"/>
      <c r="R14" s="111"/>
      <c r="S14" s="111"/>
      <c r="T14" s="111"/>
      <c r="U14" s="111"/>
      <c r="V14" s="111"/>
      <c r="W14" s="111"/>
      <c r="X14" s="111"/>
      <c r="Y14" s="111"/>
      <c r="Z14" s="111"/>
      <c r="AA14" s="111"/>
      <c r="AB14" s="111"/>
      <c r="AC14" s="111"/>
      <c r="AD14" s="111"/>
      <c r="AE14" s="111"/>
      <c r="AF14" s="111"/>
      <c r="AG14" s="111"/>
      <c r="AH14" s="111"/>
      <c r="AI14" s="111"/>
      <c r="AJ14" s="111"/>
      <c r="AK14" s="111"/>
    </row>
    <row r="15" spans="1:37" s="138" customFormat="1" x14ac:dyDescent="0.35">
      <c r="A15" s="142"/>
      <c r="B15" s="144"/>
      <c r="C15" s="145"/>
      <c r="D15" s="146"/>
      <c r="E15" s="147"/>
      <c r="F15" s="134"/>
      <c r="G15" s="134"/>
      <c r="H15" s="148"/>
      <c r="I15" s="148"/>
      <c r="J15" s="148"/>
      <c r="L15" s="149"/>
      <c r="M15" s="150"/>
      <c r="N15" s="151"/>
      <c r="O15" s="152"/>
      <c r="P15" s="111"/>
      <c r="Q15" s="111"/>
      <c r="R15" s="111"/>
      <c r="S15" s="111"/>
      <c r="T15" s="111"/>
      <c r="U15" s="111"/>
      <c r="V15" s="111"/>
      <c r="W15" s="111"/>
      <c r="X15" s="111"/>
      <c r="Y15" s="111"/>
      <c r="Z15" s="111"/>
      <c r="AA15" s="111"/>
      <c r="AB15" s="111"/>
      <c r="AC15" s="111"/>
      <c r="AD15" s="111"/>
      <c r="AE15" s="111"/>
      <c r="AF15" s="111"/>
      <c r="AG15" s="111"/>
      <c r="AH15" s="111"/>
      <c r="AI15" s="111"/>
      <c r="AJ15" s="111"/>
      <c r="AK15" s="111"/>
    </row>
    <row r="16" spans="1:37" x14ac:dyDescent="0.35">
      <c r="A16" s="123"/>
      <c r="B16" s="153"/>
      <c r="C16" s="154"/>
      <c r="D16" s="155"/>
      <c r="E16" s="156"/>
      <c r="F16" s="157" t="s">
        <v>27</v>
      </c>
      <c r="G16" s="157">
        <f>SUM(G11:G14)</f>
        <v>3252.5556000000001</v>
      </c>
      <c r="H16" s="123"/>
      <c r="I16" s="123"/>
      <c r="J16" s="123"/>
      <c r="L16" s="158"/>
      <c r="M16" s="159"/>
      <c r="N16" s="159"/>
      <c r="O16" s="159"/>
    </row>
    <row r="17" spans="2:9" x14ac:dyDescent="0.35">
      <c r="B17" s="113"/>
      <c r="D17" s="113"/>
      <c r="F17" s="113"/>
      <c r="G17" s="113"/>
      <c r="H17" s="113"/>
      <c r="I17" s="113"/>
    </row>
    <row r="18" spans="2:9" x14ac:dyDescent="0.35">
      <c r="B18" s="113"/>
      <c r="D18" s="113"/>
      <c r="F18" s="113"/>
      <c r="G18" s="113"/>
      <c r="H18" s="113"/>
      <c r="I18" s="113"/>
    </row>
    <row r="19" spans="2:9" x14ac:dyDescent="0.35">
      <c r="B19" s="160" t="s">
        <v>59</v>
      </c>
      <c r="C19" s="161"/>
      <c r="D19" s="162" t="s">
        <v>60</v>
      </c>
      <c r="F19" s="113"/>
      <c r="G19" s="113"/>
      <c r="H19" s="113"/>
      <c r="I19" s="113"/>
    </row>
    <row r="20" spans="2:9" x14ac:dyDescent="0.35">
      <c r="B20" s="160" t="s">
        <v>61</v>
      </c>
      <c r="C20" s="163">
        <f>G16</f>
        <v>3252.5556000000001</v>
      </c>
      <c r="D20" s="162"/>
      <c r="F20" s="113"/>
      <c r="G20" s="113"/>
      <c r="H20" s="113"/>
      <c r="I20" s="113"/>
    </row>
    <row r="21" spans="2:9" x14ac:dyDescent="0.35">
      <c r="B21" s="164" t="s">
        <v>62</v>
      </c>
      <c r="C21" s="163">
        <f>18%*(C20+C19)</f>
        <v>585.46000800000002</v>
      </c>
      <c r="D21" s="162"/>
      <c r="F21" s="113"/>
      <c r="G21" s="113"/>
      <c r="H21" s="113"/>
      <c r="I21" s="113"/>
    </row>
    <row r="22" spans="2:9" ht="15" thickBot="1" x14ac:dyDescent="0.4">
      <c r="B22" s="165" t="s">
        <v>63</v>
      </c>
      <c r="C22" s="166">
        <f>SUM(C19:C21)</f>
        <v>3838.0156080000002</v>
      </c>
      <c r="D22" s="113"/>
      <c r="F22" s="113"/>
      <c r="G22" s="113"/>
      <c r="H22" s="113"/>
      <c r="I22" s="113"/>
    </row>
    <row r="23" spans="2:9" x14ac:dyDescent="0.35">
      <c r="B23" s="113"/>
      <c r="D23" s="113"/>
      <c r="F23" s="113"/>
      <c r="G23" s="113"/>
      <c r="H23" s="113"/>
    </row>
    <row r="24" spans="2:9" x14ac:dyDescent="0.35">
      <c r="B24" s="167"/>
      <c r="D24" s="113"/>
      <c r="F24" s="113"/>
      <c r="G24" s="113"/>
      <c r="H24" s="113"/>
    </row>
    <row r="25" spans="2:9" x14ac:dyDescent="0.35">
      <c r="B25" s="168" t="s">
        <v>64</v>
      </c>
      <c r="C25" s="169"/>
      <c r="D25" s="170"/>
      <c r="F25" s="216" t="s">
        <v>65</v>
      </c>
      <c r="G25" s="220"/>
      <c r="H25" s="220"/>
    </row>
    <row r="26" spans="2:9" x14ac:dyDescent="0.35">
      <c r="B26" s="171" t="s">
        <v>66</v>
      </c>
      <c r="C26" s="172"/>
      <c r="D26" s="172" t="s">
        <v>67</v>
      </c>
      <c r="F26" s="221" t="s">
        <v>68</v>
      </c>
      <c r="G26" s="222"/>
      <c r="H26" s="223"/>
    </row>
    <row r="27" spans="2:9" x14ac:dyDescent="0.35">
      <c r="B27" s="171" t="s">
        <v>69</v>
      </c>
      <c r="C27" s="173"/>
      <c r="D27" s="172" t="s">
        <v>70</v>
      </c>
      <c r="F27" s="224"/>
      <c r="G27" s="225"/>
      <c r="H27" s="226"/>
    </row>
    <row r="28" spans="2:9" x14ac:dyDescent="0.35">
      <c r="B28" s="171" t="s">
        <v>71</v>
      </c>
      <c r="C28" s="173"/>
      <c r="D28" s="172" t="s">
        <v>72</v>
      </c>
      <c r="F28" s="196" t="s">
        <v>73</v>
      </c>
      <c r="G28" s="197"/>
      <c r="H28" s="198"/>
    </row>
    <row r="29" spans="2:9" x14ac:dyDescent="0.35">
      <c r="B29" s="171" t="s">
        <v>74</v>
      </c>
      <c r="C29" s="173"/>
      <c r="D29" s="172" t="s">
        <v>75</v>
      </c>
      <c r="F29" s="199" t="s">
        <v>76</v>
      </c>
      <c r="G29" s="200"/>
      <c r="H29" s="201"/>
    </row>
    <row r="30" spans="2:9" x14ac:dyDescent="0.35">
      <c r="B30" s="171" t="s">
        <v>77</v>
      </c>
      <c r="C30" s="173"/>
      <c r="D30" s="172" t="s">
        <v>78</v>
      </c>
      <c r="F30" s="202" t="s">
        <v>79</v>
      </c>
      <c r="G30" s="203"/>
      <c r="H30" s="204"/>
    </row>
    <row r="31" spans="2:9" x14ac:dyDescent="0.35">
      <c r="B31" s="171" t="s">
        <v>80</v>
      </c>
      <c r="C31" s="173"/>
      <c r="D31" s="172" t="s">
        <v>81</v>
      </c>
      <c r="F31" s="111"/>
      <c r="G31" s="111"/>
      <c r="H31" s="111"/>
    </row>
    <row r="32" spans="2:9" x14ac:dyDescent="0.35">
      <c r="B32" s="171" t="s">
        <v>82</v>
      </c>
      <c r="C32" s="173"/>
      <c r="D32" s="172" t="s">
        <v>83</v>
      </c>
    </row>
    <row r="33" spans="2:4" x14ac:dyDescent="0.35">
      <c r="B33" s="171" t="s">
        <v>84</v>
      </c>
      <c r="C33" s="173"/>
      <c r="D33" s="172" t="s">
        <v>85</v>
      </c>
    </row>
    <row r="36" spans="2:4" x14ac:dyDescent="0.35">
      <c r="B36" s="168" t="s">
        <v>86</v>
      </c>
      <c r="C36" s="169"/>
      <c r="D36" s="170"/>
    </row>
    <row r="37" spans="2:4" ht="15" thickBot="1" x14ac:dyDescent="0.4"/>
    <row r="38" spans="2:4" x14ac:dyDescent="0.35">
      <c r="B38" s="205" t="s">
        <v>87</v>
      </c>
      <c r="C38" s="206"/>
      <c r="D38" s="207"/>
    </row>
    <row r="39" spans="2:4" x14ac:dyDescent="0.35">
      <c r="B39" s="208"/>
      <c r="C39" s="209"/>
      <c r="D39" s="210"/>
    </row>
    <row r="40" spans="2:4" x14ac:dyDescent="0.35">
      <c r="B40" s="208"/>
      <c r="C40" s="209"/>
      <c r="D40" s="210"/>
    </row>
    <row r="41" spans="2:4" x14ac:dyDescent="0.35">
      <c r="B41" s="208"/>
      <c r="C41" s="209"/>
      <c r="D41" s="210"/>
    </row>
    <row r="42" spans="2:4" x14ac:dyDescent="0.35">
      <c r="B42" s="208"/>
      <c r="C42" s="209"/>
      <c r="D42" s="210"/>
    </row>
    <row r="43" spans="2:4" x14ac:dyDescent="0.35">
      <c r="B43" s="208"/>
      <c r="C43" s="209"/>
      <c r="D43" s="210"/>
    </row>
    <row r="44" spans="2:4" ht="15" thickBot="1" x14ac:dyDescent="0.4">
      <c r="B44" s="211"/>
      <c r="C44" s="212"/>
      <c r="D44" s="213"/>
    </row>
    <row r="45" spans="2:4" x14ac:dyDescent="0.35">
      <c r="B45" s="171"/>
      <c r="C45" s="173"/>
      <c r="D45" s="172"/>
    </row>
    <row r="46" spans="2:4" x14ac:dyDescent="0.35">
      <c r="B46" s="168" t="s">
        <v>88</v>
      </c>
      <c r="C46" s="169"/>
      <c r="D46" s="170"/>
    </row>
    <row r="47" spans="2:4" ht="15" thickBot="1" x14ac:dyDescent="0.4"/>
    <row r="48" spans="2:4" x14ac:dyDescent="0.35">
      <c r="B48" s="205" t="s">
        <v>89</v>
      </c>
      <c r="C48" s="206"/>
      <c r="D48" s="207"/>
    </row>
    <row r="49" spans="2:4" x14ac:dyDescent="0.35">
      <c r="B49" s="208"/>
      <c r="C49" s="209"/>
      <c r="D49" s="210"/>
    </row>
    <row r="50" spans="2:4" x14ac:dyDescent="0.35">
      <c r="B50" s="208"/>
      <c r="C50" s="209"/>
      <c r="D50" s="210"/>
    </row>
    <row r="51" spans="2:4" x14ac:dyDescent="0.35">
      <c r="B51" s="208"/>
      <c r="C51" s="209"/>
      <c r="D51" s="210"/>
    </row>
    <row r="52" spans="2:4" x14ac:dyDescent="0.35">
      <c r="B52" s="208"/>
      <c r="C52" s="209"/>
      <c r="D52" s="210"/>
    </row>
    <row r="53" spans="2:4" x14ac:dyDescent="0.35">
      <c r="B53" s="208"/>
      <c r="C53" s="209"/>
      <c r="D53" s="210"/>
    </row>
    <row r="54" spans="2:4" ht="15" thickBot="1" x14ac:dyDescent="0.4">
      <c r="B54" s="211"/>
      <c r="C54" s="212"/>
      <c r="D54" s="213"/>
    </row>
  </sheetData>
  <mergeCells count="11">
    <mergeCell ref="F26:H27"/>
    <mergeCell ref="D2:F3"/>
    <mergeCell ref="G2:H2"/>
    <mergeCell ref="C10:D10"/>
    <mergeCell ref="C11:D11"/>
    <mergeCell ref="F25:H25"/>
    <mergeCell ref="F28:H28"/>
    <mergeCell ref="F29:H29"/>
    <mergeCell ref="F30:H30"/>
    <mergeCell ref="B38:D44"/>
    <mergeCell ref="B48:D54"/>
  </mergeCells>
  <conditionalFormatting sqref="E9 F9:G16 H10:H14 M15:N15 G23:H24">
    <cfRule type="expression" dxfId="1" priority="2">
      <formula>$K$8="EUR"</formula>
    </cfRule>
  </conditionalFormatting>
  <conditionalFormatting sqref="H9 I9:J14">
    <cfRule type="expression" dxfId="0" priority="1">
      <formula>$M$8="EUR"</formula>
    </cfRule>
  </conditionalFormatting>
  <hyperlinks>
    <hyperlink ref="F29" r:id="rId1" xr:uid="{4CDD7BF7-9726-4F37-BF1B-40378652851D}"/>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5EC-F6B3-43C4-BE5C-CD0D56AD06AF}">
  <sheetPr>
    <pageSetUpPr fitToPage="1"/>
  </sheetPr>
  <dimension ref="A1:W31"/>
  <sheetViews>
    <sheetView view="pageBreakPreview" topLeftCell="B3" zoomScale="25" zoomScaleNormal="100" zoomScaleSheetLayoutView="25" zoomScalePageLayoutView="25" workbookViewId="0">
      <selection activeCell="D23" sqref="D23:F23"/>
    </sheetView>
  </sheetViews>
  <sheetFormatPr defaultColWidth="9.1796875" defaultRowHeight="31" x14ac:dyDescent="0.7"/>
  <cols>
    <col min="1" max="1" width="0" style="63" hidden="1" customWidth="1"/>
    <col min="2" max="3" width="0.81640625" style="63" customWidth="1"/>
    <col min="4" max="4" width="15" style="63" customWidth="1"/>
    <col min="5" max="5" width="61.1796875" style="63" bestFit="1" customWidth="1"/>
    <col min="6" max="6" width="157.1796875" style="63" customWidth="1"/>
    <col min="7" max="7" width="20.453125" style="63" customWidth="1"/>
    <col min="8" max="8" width="59" style="104" customWidth="1"/>
    <col min="9" max="9" width="68.6328125" style="63" customWidth="1"/>
    <col min="10" max="11" width="9.1796875" style="63" customWidth="1"/>
    <col min="12" max="12" width="59.36328125" style="63" bestFit="1" customWidth="1"/>
    <col min="13" max="13" width="59.36328125" style="63" customWidth="1"/>
    <col min="14" max="14" width="35.453125" style="63" hidden="1" customWidth="1"/>
    <col min="15" max="15" width="53.08984375" style="85" customWidth="1"/>
    <col min="16" max="16" width="52.453125" style="63" customWidth="1"/>
    <col min="17" max="17" width="55.6328125" style="68" customWidth="1"/>
    <col min="18" max="18" width="47.1796875" style="63" customWidth="1"/>
    <col min="19" max="19" width="18.453125" style="63" bestFit="1" customWidth="1"/>
    <col min="20" max="20" width="43.1796875" style="63" bestFit="1" customWidth="1"/>
    <col min="21" max="21" width="39.81640625" style="63" bestFit="1" customWidth="1"/>
    <col min="22" max="22" width="36.81640625" style="63" bestFit="1" customWidth="1"/>
    <col min="23" max="23" width="50.36328125" style="63" bestFit="1" customWidth="1"/>
    <col min="24" max="24" width="34.453125" style="63" bestFit="1" customWidth="1"/>
    <col min="25" max="16384" width="9.1796875" style="63"/>
  </cols>
  <sheetData>
    <row r="1" spans="1:23" s="7" customFormat="1" ht="40" customHeight="1" x14ac:dyDescent="0.35">
      <c r="A1" s="1"/>
      <c r="B1" s="2"/>
      <c r="C1" s="2"/>
      <c r="D1" s="3"/>
      <c r="E1" s="4"/>
      <c r="F1" s="4"/>
      <c r="G1" s="4"/>
      <c r="H1" s="5" t="s">
        <v>0</v>
      </c>
      <c r="I1" s="6"/>
      <c r="O1" s="8"/>
      <c r="Q1" s="9"/>
    </row>
    <row r="2" spans="1:23" s="7" customFormat="1" ht="40" customHeight="1" x14ac:dyDescent="0.35">
      <c r="A2" s="10"/>
      <c r="D2" s="11"/>
      <c r="E2" s="12"/>
      <c r="F2" s="12"/>
      <c r="G2" s="12"/>
      <c r="H2" s="13" t="s">
        <v>1</v>
      </c>
      <c r="I2" s="14"/>
      <c r="O2" s="8"/>
      <c r="Q2" s="9"/>
    </row>
    <row r="3" spans="1:23" s="7" customFormat="1" ht="40" customHeight="1" x14ac:dyDescent="0.35">
      <c r="A3" s="10"/>
      <c r="D3" s="11"/>
      <c r="E3" s="12"/>
      <c r="F3" s="12"/>
      <c r="G3" s="12"/>
      <c r="H3" s="13" t="s">
        <v>2</v>
      </c>
      <c r="I3" s="15"/>
      <c r="O3" s="16"/>
      <c r="P3" s="17"/>
      <c r="Q3" s="9"/>
    </row>
    <row r="4" spans="1:23" s="7" customFormat="1" ht="40" customHeight="1" x14ac:dyDescent="0.35">
      <c r="A4" s="10"/>
      <c r="D4" s="11"/>
      <c r="E4" s="12"/>
      <c r="F4" s="12"/>
      <c r="G4" s="12"/>
      <c r="H4" s="13" t="s">
        <v>3</v>
      </c>
      <c r="I4" s="15"/>
      <c r="O4" s="16"/>
      <c r="P4" s="17"/>
      <c r="Q4" s="9"/>
    </row>
    <row r="5" spans="1:23" s="7" customFormat="1" ht="40" customHeight="1" x14ac:dyDescent="0.35">
      <c r="A5" s="10"/>
      <c r="D5" s="11"/>
      <c r="E5" s="12"/>
      <c r="F5" s="12"/>
      <c r="G5" s="12"/>
      <c r="H5" s="13" t="s">
        <v>4</v>
      </c>
      <c r="I5" s="15"/>
      <c r="O5" s="16"/>
      <c r="P5" s="17"/>
      <c r="Q5" s="9"/>
    </row>
    <row r="6" spans="1:23" s="7" customFormat="1" ht="40" customHeight="1" x14ac:dyDescent="0.35">
      <c r="A6" s="10"/>
      <c r="D6" s="189"/>
      <c r="E6" s="190"/>
      <c r="F6" s="190"/>
      <c r="G6" s="18"/>
      <c r="H6" s="13" t="s">
        <v>5</v>
      </c>
      <c r="I6" s="15"/>
      <c r="O6" s="16"/>
      <c r="P6" s="17"/>
      <c r="Q6" s="9"/>
    </row>
    <row r="7" spans="1:23" s="7" customFormat="1" ht="47.5" customHeight="1" x14ac:dyDescent="0.35">
      <c r="A7" s="10"/>
      <c r="D7" s="11"/>
      <c r="E7" s="12"/>
      <c r="H7" s="13" t="s">
        <v>6</v>
      </c>
      <c r="I7" s="15"/>
      <c r="O7" s="16"/>
      <c r="P7" s="17"/>
      <c r="Q7" s="9"/>
    </row>
    <row r="8" spans="1:23" s="20" customFormat="1" ht="39.75" customHeight="1" x14ac:dyDescent="0.35">
      <c r="A8" s="19"/>
      <c r="D8" s="21"/>
      <c r="E8" s="22"/>
      <c r="F8" s="22"/>
      <c r="G8" s="22"/>
      <c r="H8" s="23" t="s">
        <v>7</v>
      </c>
      <c r="I8" s="24"/>
      <c r="O8" s="25"/>
      <c r="P8" s="26"/>
      <c r="Q8" s="27"/>
    </row>
    <row r="9" spans="1:23" s="20" customFormat="1" ht="40" customHeight="1" x14ac:dyDescent="0.35">
      <c r="A9" s="19"/>
      <c r="D9" s="21"/>
      <c r="E9" s="22"/>
      <c r="F9" s="22"/>
      <c r="G9" s="22"/>
      <c r="H9" s="13" t="s">
        <v>8</v>
      </c>
      <c r="I9" s="24"/>
      <c r="O9" s="25"/>
      <c r="P9" s="26"/>
      <c r="Q9" s="27"/>
    </row>
    <row r="10" spans="1:23" s="20" customFormat="1" ht="39.5" customHeight="1" x14ac:dyDescent="0.35">
      <c r="A10" s="19"/>
      <c r="D10" s="21"/>
      <c r="E10" s="22"/>
      <c r="F10" s="191" t="s">
        <v>9</v>
      </c>
      <c r="G10" s="191"/>
      <c r="H10" s="13" t="s">
        <v>10</v>
      </c>
      <c r="I10" s="24"/>
      <c r="L10" s="28"/>
      <c r="M10" s="9"/>
      <c r="N10" s="7"/>
      <c r="O10" s="16"/>
      <c r="P10" s="29"/>
      <c r="Q10" s="9"/>
    </row>
    <row r="11" spans="1:23" s="20" customFormat="1" ht="79.5" customHeight="1" x14ac:dyDescent="0.35">
      <c r="A11" s="19"/>
      <c r="D11" s="194" t="s">
        <v>36</v>
      </c>
      <c r="E11" s="195"/>
      <c r="F11" s="195"/>
      <c r="G11" s="32"/>
      <c r="H11" s="13" t="s">
        <v>94</v>
      </c>
      <c r="I11" s="33"/>
      <c r="L11" s="34"/>
      <c r="M11" s="9"/>
      <c r="N11" s="7"/>
      <c r="O11" s="8"/>
      <c r="P11" s="35"/>
      <c r="Q11" s="9" t="s">
        <v>11</v>
      </c>
    </row>
    <row r="12" spans="1:23" s="20" customFormat="1" ht="40" customHeight="1" x14ac:dyDescent="0.35">
      <c r="A12" s="19"/>
      <c r="D12" s="30" t="s">
        <v>93</v>
      </c>
      <c r="E12" s="31"/>
      <c r="F12" s="36"/>
      <c r="G12" s="36"/>
      <c r="H12" s="32"/>
      <c r="I12" s="37"/>
      <c r="L12" s="7"/>
      <c r="M12" s="7"/>
      <c r="N12" s="7"/>
      <c r="O12" s="8"/>
      <c r="P12" s="35"/>
      <c r="Q12" s="9"/>
      <c r="T12" s="20" t="s">
        <v>11</v>
      </c>
    </row>
    <row r="13" spans="1:23" s="20" customFormat="1" ht="36" customHeight="1" x14ac:dyDescent="0.35">
      <c r="A13" s="19"/>
      <c r="D13" s="38"/>
      <c r="E13" s="39"/>
      <c r="F13" s="40"/>
      <c r="G13" s="41"/>
      <c r="H13" s="42"/>
      <c r="I13" s="37"/>
      <c r="L13" s="43" t="s">
        <v>12</v>
      </c>
      <c r="M13" s="44">
        <v>3000</v>
      </c>
      <c r="N13" s="45"/>
      <c r="O13" s="46"/>
      <c r="P13" s="45"/>
      <c r="Q13" s="9"/>
    </row>
    <row r="14" spans="1:23" s="20" customFormat="1" ht="28" customHeight="1" x14ac:dyDescent="0.35">
      <c r="A14" s="47"/>
      <c r="B14" s="47"/>
      <c r="C14" s="47"/>
      <c r="D14" s="192" t="s">
        <v>13</v>
      </c>
      <c r="E14" s="192" t="s">
        <v>14</v>
      </c>
      <c r="F14" s="192" t="s">
        <v>15</v>
      </c>
      <c r="G14" s="192" t="s">
        <v>16</v>
      </c>
      <c r="H14" s="175" t="s">
        <v>17</v>
      </c>
      <c r="I14" s="175" t="s">
        <v>18</v>
      </c>
      <c r="L14" s="48" t="s">
        <v>19</v>
      </c>
      <c r="M14" s="49">
        <v>1.1499999999999999</v>
      </c>
      <c r="N14" s="50"/>
      <c r="O14" s="51" t="s">
        <v>20</v>
      </c>
      <c r="P14" s="51" t="s">
        <v>18</v>
      </c>
      <c r="Q14" s="52"/>
      <c r="R14" s="53"/>
      <c r="W14" s="54"/>
    </row>
    <row r="15" spans="1:23" s="20" customFormat="1" ht="38" customHeight="1" x14ac:dyDescent="0.35">
      <c r="A15" s="47"/>
      <c r="B15" s="47"/>
      <c r="C15" s="47"/>
      <c r="D15" s="192"/>
      <c r="E15" s="192"/>
      <c r="F15" s="192"/>
      <c r="G15" s="193"/>
      <c r="H15" s="176"/>
      <c r="I15" s="176"/>
      <c r="L15" s="48" t="s">
        <v>21</v>
      </c>
      <c r="M15" s="55">
        <v>0.18</v>
      </c>
      <c r="N15" s="56"/>
      <c r="O15" s="57"/>
      <c r="P15" s="58"/>
      <c r="Q15" s="52"/>
      <c r="R15" s="53"/>
    </row>
    <row r="16" spans="1:23" s="20" customFormat="1" ht="33.5" customHeight="1" x14ac:dyDescent="0.35">
      <c r="A16" s="19"/>
      <c r="D16" s="177"/>
      <c r="E16" s="178"/>
      <c r="F16" s="179"/>
      <c r="G16" s="180"/>
      <c r="H16" s="180"/>
      <c r="I16" s="181"/>
      <c r="L16" s="48"/>
      <c r="M16" s="55"/>
      <c r="N16" s="56"/>
      <c r="O16" s="57"/>
      <c r="P16" s="58"/>
      <c r="Q16" s="52"/>
      <c r="R16" s="53"/>
    </row>
    <row r="17" spans="1:18" s="20" customFormat="1" ht="47.5" x14ac:dyDescent="1.1000000000000001">
      <c r="A17" s="19"/>
      <c r="D17" s="59">
        <v>1</v>
      </c>
      <c r="E17" s="108" t="s">
        <v>92</v>
      </c>
      <c r="F17" s="107" t="s">
        <v>91</v>
      </c>
      <c r="G17" s="109">
        <v>1</v>
      </c>
      <c r="H17" s="60">
        <f>O17*M14*M13</f>
        <v>3018749.9999999995</v>
      </c>
      <c r="I17" s="60">
        <f>H17*G17</f>
        <v>3018749.9999999995</v>
      </c>
      <c r="L17" s="48"/>
      <c r="M17" s="55"/>
      <c r="N17" s="56"/>
      <c r="O17" s="61">
        <v>875</v>
      </c>
      <c r="P17" s="61">
        <f>O17*G17</f>
        <v>875</v>
      </c>
      <c r="Q17" s="52"/>
      <c r="R17" s="53"/>
    </row>
    <row r="18" spans="1:18" s="68" customFormat="1" ht="19.5" customHeight="1" x14ac:dyDescent="1.1000000000000001">
      <c r="A18" s="62"/>
      <c r="B18" s="63"/>
      <c r="C18" s="63"/>
      <c r="D18" s="182"/>
      <c r="E18" s="183"/>
      <c r="F18" s="183"/>
      <c r="G18" s="183"/>
      <c r="H18" s="183"/>
      <c r="I18" s="184"/>
      <c r="J18" s="63"/>
      <c r="K18" s="63"/>
      <c r="L18" s="64"/>
      <c r="M18" s="65"/>
      <c r="N18" s="65"/>
      <c r="O18" s="66"/>
      <c r="P18" s="67"/>
      <c r="R18" s="63"/>
    </row>
    <row r="19" spans="1:18" s="68" customFormat="1" ht="47.5" x14ac:dyDescent="1.1000000000000001">
      <c r="A19" s="62"/>
      <c r="B19" s="63"/>
      <c r="C19" s="63"/>
      <c r="D19" s="69"/>
      <c r="E19" s="70"/>
      <c r="F19" s="70"/>
      <c r="G19" s="70"/>
      <c r="H19" s="71" t="s">
        <v>22</v>
      </c>
      <c r="I19" s="72">
        <f>SUM(I17:I17)</f>
        <v>3018749.9999999995</v>
      </c>
      <c r="J19" s="63"/>
      <c r="K19" s="63"/>
      <c r="L19" s="73"/>
      <c r="M19" s="65"/>
      <c r="N19" s="65"/>
      <c r="O19" s="74" t="s">
        <v>23</v>
      </c>
      <c r="P19" s="75">
        <f>SUM(P17:P17)</f>
        <v>875</v>
      </c>
      <c r="Q19" s="76">
        <f>P19*M13</f>
        <v>2625000</v>
      </c>
      <c r="R19" s="63"/>
    </row>
    <row r="20" spans="1:18" s="68" customFormat="1" ht="47.5" x14ac:dyDescent="1.1000000000000001">
      <c r="A20" s="62"/>
      <c r="B20" s="63"/>
      <c r="C20" s="63"/>
      <c r="D20" s="69"/>
      <c r="E20" s="70"/>
      <c r="F20" s="70"/>
      <c r="G20" s="70"/>
      <c r="H20" s="77" t="s">
        <v>24</v>
      </c>
      <c r="I20" s="72">
        <f>I19*M15</f>
        <v>543374.99999999988</v>
      </c>
      <c r="J20" s="63"/>
      <c r="K20" s="78" t="s">
        <v>25</v>
      </c>
      <c r="L20" s="79">
        <f>(I19-Q19)</f>
        <v>393749.99999999953</v>
      </c>
      <c r="M20" s="80">
        <f>L20/Q19</f>
        <v>0.14999999999999983</v>
      </c>
      <c r="N20" s="65"/>
      <c r="O20" s="81" t="s">
        <v>26</v>
      </c>
      <c r="P20" s="75">
        <f>P19*M15</f>
        <v>157.5</v>
      </c>
      <c r="Q20" s="68" t="s">
        <v>11</v>
      </c>
      <c r="R20" s="63"/>
    </row>
    <row r="21" spans="1:18" s="68" customFormat="1" ht="47.5" x14ac:dyDescent="1.1000000000000001">
      <c r="A21" s="62"/>
      <c r="B21" s="63"/>
      <c r="C21" s="63"/>
      <c r="D21" s="69"/>
      <c r="E21" s="70"/>
      <c r="F21" s="70"/>
      <c r="G21" s="70"/>
      <c r="H21" s="77" t="s">
        <v>27</v>
      </c>
      <c r="I21" s="72">
        <f>SUM(I19:I20)</f>
        <v>3562124.9999999995</v>
      </c>
      <c r="J21" s="63"/>
      <c r="K21" s="63"/>
      <c r="L21" s="82"/>
      <c r="M21" s="65"/>
      <c r="N21" s="65"/>
      <c r="O21" s="81" t="s">
        <v>28</v>
      </c>
      <c r="P21" s="75">
        <f>SUM(P19:P20)</f>
        <v>1032.5</v>
      </c>
      <c r="Q21" s="68" t="s">
        <v>11</v>
      </c>
      <c r="R21" s="63"/>
    </row>
    <row r="22" spans="1:18" s="68" customFormat="1" ht="14.5" customHeight="1" x14ac:dyDescent="1.1000000000000001">
      <c r="A22" s="62"/>
      <c r="B22" s="63"/>
      <c r="C22" s="63"/>
      <c r="D22" s="69"/>
      <c r="E22" s="70"/>
      <c r="F22" s="70" t="s">
        <v>11</v>
      </c>
      <c r="G22" s="70"/>
      <c r="H22" s="70"/>
      <c r="I22" s="83"/>
      <c r="J22" s="63"/>
      <c r="K22" s="63"/>
      <c r="L22" s="84" t="s">
        <v>11</v>
      </c>
      <c r="M22" s="63"/>
      <c r="N22" s="63"/>
      <c r="O22" s="85"/>
      <c r="P22" s="63"/>
      <c r="R22" s="63"/>
    </row>
    <row r="23" spans="1:18" s="68" customFormat="1" ht="47.5" customHeight="1" x14ac:dyDescent="1.1000000000000001">
      <c r="A23" s="62"/>
      <c r="B23" s="63"/>
      <c r="C23" s="63"/>
      <c r="D23" s="185" t="s">
        <v>29</v>
      </c>
      <c r="E23" s="186"/>
      <c r="F23" s="186"/>
      <c r="G23" s="70"/>
      <c r="H23" s="70"/>
      <c r="I23" s="83" t="s">
        <v>11</v>
      </c>
      <c r="J23" s="63"/>
      <c r="K23" s="63"/>
      <c r="L23" s="86"/>
      <c r="M23" s="63"/>
      <c r="N23" s="63"/>
      <c r="O23" s="87"/>
      <c r="P23" s="87"/>
      <c r="Q23" s="88"/>
      <c r="R23" s="63"/>
    </row>
    <row r="24" spans="1:18" s="68" customFormat="1" ht="47.5" x14ac:dyDescent="1.1000000000000001">
      <c r="A24" s="62"/>
      <c r="B24" s="63"/>
      <c r="C24" s="63"/>
      <c r="D24" s="89" t="s">
        <v>39</v>
      </c>
      <c r="E24" s="90"/>
      <c r="F24" s="91"/>
      <c r="G24" s="70"/>
      <c r="H24" s="70" t="s">
        <v>11</v>
      </c>
      <c r="I24" s="83"/>
      <c r="J24" s="63"/>
      <c r="K24" s="63"/>
      <c r="L24" s="92"/>
      <c r="M24" s="93"/>
      <c r="N24" s="63"/>
      <c r="O24" s="87"/>
      <c r="P24" s="87"/>
      <c r="Q24" s="88"/>
      <c r="R24" s="63"/>
    </row>
    <row r="25" spans="1:18" s="68" customFormat="1" ht="47.5" x14ac:dyDescent="1.1000000000000001">
      <c r="A25" s="62"/>
      <c r="B25" s="63"/>
      <c r="C25" s="63"/>
      <c r="D25" s="94" t="s">
        <v>30</v>
      </c>
      <c r="E25" s="42"/>
      <c r="F25" s="95"/>
      <c r="G25" s="70"/>
      <c r="H25" s="70"/>
      <c r="I25" s="83"/>
      <c r="J25" s="63"/>
      <c r="K25" s="63"/>
      <c r="L25" s="93"/>
      <c r="M25" s="63"/>
      <c r="N25" s="63"/>
      <c r="O25" s="87"/>
      <c r="P25" s="87"/>
      <c r="Q25" s="88"/>
      <c r="R25" s="63"/>
    </row>
    <row r="26" spans="1:18" s="68" customFormat="1" ht="47.5" x14ac:dyDescent="1.1000000000000001">
      <c r="A26" s="62"/>
      <c r="B26" s="63"/>
      <c r="C26" s="63"/>
      <c r="D26" s="96" t="s">
        <v>31</v>
      </c>
      <c r="E26" s="13"/>
      <c r="F26" s="32"/>
      <c r="G26" s="70"/>
      <c r="H26" s="70"/>
      <c r="I26" s="83"/>
      <c r="J26" s="63"/>
      <c r="K26" s="63"/>
      <c r="L26" s="97"/>
      <c r="M26" s="73"/>
      <c r="N26" s="63"/>
      <c r="O26" s="87"/>
      <c r="P26" s="87"/>
      <c r="Q26" s="88"/>
      <c r="R26" s="63"/>
    </row>
    <row r="27" spans="1:18" s="68" customFormat="1" ht="11.5" customHeight="1" x14ac:dyDescent="1.1000000000000001">
      <c r="A27" s="62"/>
      <c r="B27" s="63"/>
      <c r="C27" s="63"/>
      <c r="D27" s="96"/>
      <c r="E27" s="13"/>
      <c r="F27" s="32"/>
      <c r="G27" s="70"/>
      <c r="H27" s="70"/>
      <c r="I27" s="83"/>
      <c r="J27" s="63"/>
      <c r="K27" s="63"/>
      <c r="L27" s="97"/>
      <c r="M27" s="73"/>
      <c r="N27" s="63"/>
      <c r="O27" s="87"/>
      <c r="P27" s="87"/>
      <c r="Q27" s="88"/>
      <c r="R27" s="63"/>
    </row>
    <row r="28" spans="1:18" s="68" customFormat="1" ht="47.5" x14ac:dyDescent="1.1000000000000001">
      <c r="A28" s="62"/>
      <c r="B28" s="63"/>
      <c r="C28" s="63"/>
      <c r="D28" s="187" t="s">
        <v>32</v>
      </c>
      <c r="E28" s="188"/>
      <c r="F28" s="188"/>
      <c r="G28" s="70"/>
      <c r="H28" s="70"/>
      <c r="I28" s="83"/>
      <c r="J28" s="63"/>
      <c r="K28" s="63"/>
      <c r="L28" s="97"/>
      <c r="M28" s="98"/>
      <c r="N28" s="63"/>
      <c r="O28" s="87"/>
      <c r="P28" s="87"/>
      <c r="Q28" s="88"/>
      <c r="R28" s="63"/>
    </row>
    <row r="29" spans="1:18" s="68" customFormat="1" ht="47.5" x14ac:dyDescent="1.1000000000000001">
      <c r="A29" s="62"/>
      <c r="B29" s="63"/>
      <c r="C29" s="63"/>
      <c r="D29" s="99" t="s">
        <v>33</v>
      </c>
      <c r="E29" s="100"/>
      <c r="F29" s="101"/>
      <c r="G29" s="102"/>
      <c r="H29" s="102"/>
      <c r="I29" s="103"/>
      <c r="J29" s="63"/>
      <c r="K29" s="63"/>
      <c r="L29" s="97"/>
      <c r="M29" s="63"/>
      <c r="N29" s="63"/>
      <c r="O29" s="87"/>
      <c r="P29" s="87"/>
      <c r="Q29" s="88"/>
      <c r="R29" s="63"/>
    </row>
    <row r="30" spans="1:18" ht="47.5" x14ac:dyDescent="0.7">
      <c r="P30" s="105"/>
      <c r="Q30" s="106"/>
    </row>
    <row r="31" spans="1:18" ht="47.5" x14ac:dyDescent="0.7">
      <c r="P31" s="105"/>
      <c r="Q31" s="106"/>
    </row>
  </sheetData>
  <mergeCells count="13">
    <mergeCell ref="D6:F6"/>
    <mergeCell ref="F10:G10"/>
    <mergeCell ref="D14:D15"/>
    <mergeCell ref="E14:E15"/>
    <mergeCell ref="F14:F15"/>
    <mergeCell ref="G14:G15"/>
    <mergeCell ref="D11:F11"/>
    <mergeCell ref="H14:H15"/>
    <mergeCell ref="I14:I15"/>
    <mergeCell ref="D16:I16"/>
    <mergeCell ref="D18:I18"/>
    <mergeCell ref="D23:F23"/>
    <mergeCell ref="D28:F28"/>
  </mergeCells>
  <hyperlinks>
    <hyperlink ref="H8" r:id="rId1" xr:uid="{EA9EBEC6-B43E-457B-989A-8305DDD988C2}"/>
  </hyperlinks>
  <printOptions horizontalCentered="1"/>
  <pageMargins left="0.26" right="0.17" top="0.74803149606299202" bottom="0.74803149606299202" header="0.31496062992126" footer="0.31496062992126"/>
  <pageSetup paperSize="14" scale="26" fitToHeight="0" orientation="portrait" horizontalDpi="360" verticalDpi="360" r:id="rId2"/>
  <headerFooter>
    <oddFooter xml:space="preserve">&amp;C&amp;"-,Bold Italic"&amp;22DPSL Reg Nº 139505301 | www.dolphin.co.tz | www.dolphin.co.ug
Client shall pay DPSL late charge of 1% of the quote value per day on all payments past due. 
Bank Details: CRDB Bank Plc | Acc # (TZS): 0150446097100 
</odd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A2AC-9914-4178-B45D-44F574B7DD8B}">
  <dimension ref="A1"/>
  <sheetViews>
    <sheetView workbookViewId="0"/>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Quote</vt:lpstr>
      <vt:lpstr>Redington Price</vt:lpstr>
      <vt:lpstr>Quote (2)</vt:lpstr>
      <vt:lpstr>Sheet1</vt:lpstr>
      <vt:lpstr>Quote!Print_Area</vt:lpstr>
      <vt:lpstr>'Quote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Wilson David</dc:creator>
  <cp:lastModifiedBy>Erick Matondo</cp:lastModifiedBy>
  <dcterms:created xsi:type="dcterms:W3CDTF">2026-03-26T07:20:38Z</dcterms:created>
  <dcterms:modified xsi:type="dcterms:W3CDTF">2026-03-31T12:54:47Z</dcterms:modified>
</cp:coreProperties>
</file>