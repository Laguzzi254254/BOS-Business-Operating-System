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D\Desktop\Jan 2026\"/>
    </mc:Choice>
  </mc:AlternateContent>
  <xr:revisionPtr revIDLastSave="0" documentId="8_{F677E1F8-D33A-467F-9B45-18E3FE000CAB}" xr6:coauthVersionLast="47" xr6:coauthVersionMax="47" xr10:uidLastSave="{00000000-0000-0000-0000-000000000000}"/>
  <bookViews>
    <workbookView xWindow="1560" yWindow="675" windowWidth="18525" windowHeight="10845" xr2:uid="{6E816BF9-0B82-466B-BD85-51F0377A5FFB}"/>
  </bookViews>
  <sheets>
    <sheet name="Pricing " sheetId="1" r:id="rId1"/>
    <sheet name="BOM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5" i="1"/>
  <c r="F4" i="1" l="1"/>
  <c r="F3" i="1"/>
  <c r="F8" i="1" l="1"/>
</calcChain>
</file>

<file path=xl/sharedStrings.xml><?xml version="1.0" encoding="utf-8"?>
<sst xmlns="http://schemas.openxmlformats.org/spreadsheetml/2006/main" count="155" uniqueCount="100">
  <si>
    <t>Subtotal</t>
  </si>
  <si>
    <t/>
  </si>
  <si>
    <t>1</t>
  </si>
  <si>
    <t>7S0XCTO8WW</t>
  </si>
  <si>
    <t>PN</t>
  </si>
  <si>
    <t xml:space="preserve">Details </t>
  </si>
  <si>
    <t xml:space="preserve">Unit </t>
  </si>
  <si>
    <t>Total</t>
  </si>
  <si>
    <t>Quantity</t>
  </si>
  <si>
    <t xml:space="preserve">Sub-total </t>
  </si>
  <si>
    <t>Feature Code</t>
  </si>
  <si>
    <t>Description</t>
  </si>
  <si>
    <t>Qty</t>
  </si>
  <si>
    <t>C3JB</t>
  </si>
  <si>
    <t>ThinkSystem General Computing - Power Efficiency</t>
  </si>
  <si>
    <t>BVGL</t>
  </si>
  <si>
    <t>Data Center Environment 30 Degree Celsius / 86 Degree Fahrenheit</t>
  </si>
  <si>
    <t>5977</t>
  </si>
  <si>
    <t>Select Storage devices - no configured RAID required</t>
  </si>
  <si>
    <t>2</t>
  </si>
  <si>
    <t>6400</t>
  </si>
  <si>
    <t>2.8m, 13A/100-250V, C13 to C14 Jumper Cord</t>
  </si>
  <si>
    <t>C2DH</t>
  </si>
  <si>
    <t>ThinkSystem Toolless Slide Rail Kit V4</t>
  </si>
  <si>
    <t>BPKR</t>
  </si>
  <si>
    <t>TPM 2.0</t>
  </si>
  <si>
    <t>C3K9</t>
  </si>
  <si>
    <t>XClarity Platinum Upgrade v3</t>
  </si>
  <si>
    <t>B0ML</t>
  </si>
  <si>
    <t>Feature Enable TPM on MB</t>
  </si>
  <si>
    <t>BPP5</t>
  </si>
  <si>
    <t>OCP3.0 Filler with screw</t>
  </si>
  <si>
    <t>5374CM1</t>
  </si>
  <si>
    <t>SCY0</t>
  </si>
  <si>
    <t>Lenovo XClarity XCC3 premier - FOD</t>
  </si>
  <si>
    <t>software2 Configuration Instruction</t>
  </si>
  <si>
    <t>7DGDCTO1WW</t>
  </si>
  <si>
    <t>Server ThinkSystem SR650 V4-3yr Base Warranty</t>
  </si>
  <si>
    <t>CIF to Dar es Salaam</t>
  </si>
  <si>
    <t>C3QK</t>
  </si>
  <si>
    <t>ThinkSystem SR650 V4 24x2.5" Chassis</t>
  </si>
  <si>
    <t>C62D</t>
  </si>
  <si>
    <t>ThinkSystem SR650/a V4 x16 Rear Direct Riser Slot 5</t>
  </si>
  <si>
    <t>C4U0</t>
  </si>
  <si>
    <t>ThinkSystem SR650/a V4 x16 Rear Direct Riser Slot 8</t>
  </si>
  <si>
    <t>6</t>
  </si>
  <si>
    <t>BQQ2</t>
  </si>
  <si>
    <t>ThinkSystem 2U V3 EIA Latch Standard</t>
  </si>
  <si>
    <t>C4S2</t>
  </si>
  <si>
    <t>ThinkSystem SR650 V4 Processor Board</t>
  </si>
  <si>
    <t>CB2P</t>
  </si>
  <si>
    <t>SR650 V4 Laser service indicator</t>
  </si>
  <si>
    <t>AVEN</t>
  </si>
  <si>
    <t>ThinkSystem 1x1 2.5" HDD Filler</t>
  </si>
  <si>
    <t>C3RN</t>
  </si>
  <si>
    <t>ThinkSystem 2U Main Air Duct</t>
  </si>
  <si>
    <t>C3RJ</t>
  </si>
  <si>
    <t>ThinkSystem 2U 2LP Riser Cage Filler</t>
  </si>
  <si>
    <t>C7Y8</t>
  </si>
  <si>
    <t>ThinkSystem SR650 V4 System I/O Board</t>
  </si>
  <si>
    <t>C3S5</t>
  </si>
  <si>
    <t>ThinkSystem 2U V4 3FH Riser Cage</t>
  </si>
  <si>
    <t>C3R0</t>
  </si>
  <si>
    <t>ThinkSystem Power Cable, 2x6+12 P-2x3+6 P, 250 mm</t>
  </si>
  <si>
    <t>AVEQ</t>
  </si>
  <si>
    <t>ThinkSystem 8x1 2.5" HDD Filler</t>
  </si>
  <si>
    <t>4</t>
  </si>
  <si>
    <t>5641PX3</t>
  </si>
  <si>
    <t>software1 XClarity Pro, Per Endpoint w/3 Yr SW S&amp;S</t>
  </si>
  <si>
    <t>software3 XClarity Controller Prem-FOD</t>
  </si>
  <si>
    <t>C5QV</t>
  </si>
  <si>
    <t>Intel Xeon 6517P 16C 190W 3.2GHz Processor</t>
  </si>
  <si>
    <t>BPDQ</t>
  </si>
  <si>
    <t>ThinkSystem SR650 V3 AL Extrusion Entry Heatsink</t>
  </si>
  <si>
    <t>BYTJ</t>
  </si>
  <si>
    <t>ThinkSystem 32GB TruDDR5 6400MHz (2Rx8) RDIMM</t>
  </si>
  <si>
    <t>B8NY</t>
  </si>
  <si>
    <t>ThinkSystem RAID 940-8i 4GB Flash PCIe Gen4 12Gb Adapter</t>
  </si>
  <si>
    <t>C3RT</t>
  </si>
  <si>
    <t>ThinkSystem 2U V4 8x2.5" SAS/SATA Backplane</t>
  </si>
  <si>
    <t>AUZV</t>
  </si>
  <si>
    <t>ThinkSystem Broadcom 5719 1GbE RJ45 4-Port PCIe Ethernet Adapter</t>
  </si>
  <si>
    <t>C2Y9</t>
  </si>
  <si>
    <t>ThinkSystem 1300W 230V/115V Titanium CRPS Hot-Swap Power Supply v2.4</t>
  </si>
  <si>
    <t>C3RQ</t>
  </si>
  <si>
    <t>ThinkSystem 2U 6038 24K Standard Fan Module</t>
  </si>
  <si>
    <t>AVEP</t>
  </si>
  <si>
    <t>ThinkSystem 4x1 2.5" HDD Filler</t>
  </si>
  <si>
    <t>BU1E</t>
  </si>
  <si>
    <t>Top Choice flag</t>
  </si>
  <si>
    <t>AUNP</t>
  </si>
  <si>
    <t>ThinkSystem RAID 930/940 SuperCap</t>
  </si>
  <si>
    <t>C26Y</t>
  </si>
  <si>
    <t>ThinkSystem V4 CPU HS Clip</t>
  </si>
  <si>
    <t>C3QX</t>
  </si>
  <si>
    <t>ThinkSystem G4 SAS Cable, SLX8-SLX8, 900mm</t>
  </si>
  <si>
    <t>C21H</t>
  </si>
  <si>
    <t>ThinkSystem Supercap Cable, 1X9 receptacle to 2X4 microfit receptacle, 380mm</t>
  </si>
  <si>
    <t>1340</t>
  </si>
  <si>
    <t>Lenovo XClarity Pro, Per Managed Endpoint w/3 Yr SW S&amp;S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</si>
</sst>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  <xf numFmtId="0" fontId="0" fillId="0" borderId="1" xfId="0" applyBorder="1" applyAlignment="1">
      <alignment horizontal="center"/>
    </xf>
    <xf numFmtId="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left" wrapText="1"/>
    </xf>
    <xf numFmtId="0" fontId="4" fillId="2" borderId="0" xfId="0" applyFont="1" applyFill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AAF-D27C-44A4-BF43-2F8BF17F3F5C}">
  <dimension ref="B2:F8"/>
  <sheetViews>
    <sheetView tabSelected="1" workbookViewId="0">
      <selection activeCell="F8" sqref="F8"/>
    </sheetView>
  </sheetViews>
  <sheetFormatPr defaultRowHeight="15" x14ac:dyDescent="0.25"/>
  <cols>
    <col min="2" max="2" width="16.42578125" customWidth="1"/>
    <col min="3" max="3" width="45.85546875" customWidth="1"/>
    <col min="5" max="5" width="11.85546875" customWidth="1"/>
    <col min="6" max="6" width="12.5703125" customWidth="1"/>
  </cols>
  <sheetData>
    <row r="2" spans="2:6" x14ac:dyDescent="0.25">
      <c r="B2" s="1" t="s">
        <v>4</v>
      </c>
      <c r="C2" s="1" t="s">
        <v>5</v>
      </c>
      <c r="D2" s="1" t="s">
        <v>8</v>
      </c>
      <c r="E2" s="1" t="s">
        <v>6</v>
      </c>
      <c r="F2" s="1" t="s">
        <v>7</v>
      </c>
    </row>
    <row r="3" spans="2:6" x14ac:dyDescent="0.25">
      <c r="B3" s="1" t="s">
        <v>36</v>
      </c>
      <c r="C3" s="1" t="s">
        <v>37</v>
      </c>
      <c r="D3" s="1" t="s">
        <v>2</v>
      </c>
      <c r="E3" s="2">
        <v>11181.325443786982</v>
      </c>
      <c r="F3" s="3">
        <f>D3*E3</f>
        <v>11181.325443786982</v>
      </c>
    </row>
    <row r="4" spans="2:6" x14ac:dyDescent="0.25">
      <c r="B4" s="1" t="s">
        <v>67</v>
      </c>
      <c r="C4" s="1" t="s">
        <v>68</v>
      </c>
      <c r="D4" s="1" t="s">
        <v>2</v>
      </c>
      <c r="E4" s="2">
        <v>262.30769230769232</v>
      </c>
      <c r="F4" s="3">
        <f t="shared" ref="F4:F5" si="0">D4*E4</f>
        <v>262.30769230769232</v>
      </c>
    </row>
    <row r="5" spans="2:6" x14ac:dyDescent="0.25">
      <c r="B5" s="1" t="s">
        <v>3</v>
      </c>
      <c r="C5" s="1" t="s">
        <v>69</v>
      </c>
      <c r="D5" s="1" t="s">
        <v>2</v>
      </c>
      <c r="E5" s="2">
        <v>223.45562130177515</v>
      </c>
      <c r="F5" s="3">
        <f t="shared" si="0"/>
        <v>223.45562130177515</v>
      </c>
    </row>
    <row r="6" spans="2:6" x14ac:dyDescent="0.25">
      <c r="B6" s="4" t="s">
        <v>9</v>
      </c>
      <c r="C6" s="4"/>
      <c r="D6" s="4"/>
      <c r="E6" s="4"/>
      <c r="F6" s="2">
        <f>SUM(F3:F5)</f>
        <v>11667.088757396448</v>
      </c>
    </row>
    <row r="7" spans="2:6" x14ac:dyDescent="0.25">
      <c r="B7" s="4" t="s">
        <v>38</v>
      </c>
      <c r="C7" s="4"/>
      <c r="D7" s="4"/>
      <c r="E7" s="4"/>
      <c r="F7" s="2">
        <v>2120</v>
      </c>
    </row>
    <row r="8" spans="2:6" x14ac:dyDescent="0.25">
      <c r="B8" s="4" t="s">
        <v>7</v>
      </c>
      <c r="C8" s="4"/>
      <c r="D8" s="4"/>
      <c r="E8" s="4"/>
      <c r="F8" s="2">
        <f>F6+F7</f>
        <v>13787.088757396448</v>
      </c>
    </row>
  </sheetData>
  <mergeCells count="3">
    <mergeCell ref="B6:E6"/>
    <mergeCell ref="B7:E7"/>
    <mergeCell ref="B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F6C5-CA5D-4F88-89C1-73317AB43F78}">
  <dimension ref="A2:C47"/>
  <sheetViews>
    <sheetView zoomScale="80" zoomScaleNormal="80" workbookViewId="0">
      <selection activeCell="F14" sqref="F14"/>
    </sheetView>
  </sheetViews>
  <sheetFormatPr defaultRowHeight="15" x14ac:dyDescent="0.25"/>
  <cols>
    <col min="1" max="1" width="22" customWidth="1"/>
    <col min="2" max="2" width="64.42578125" customWidth="1"/>
  </cols>
  <sheetData>
    <row r="2" spans="1:3" x14ac:dyDescent="0.25">
      <c r="A2" s="5" t="s">
        <v>36</v>
      </c>
      <c r="B2" s="5" t="s">
        <v>0</v>
      </c>
      <c r="C2" s="5" t="s">
        <v>1</v>
      </c>
    </row>
    <row r="3" spans="1:3" x14ac:dyDescent="0.25">
      <c r="A3" s="6" t="s">
        <v>36</v>
      </c>
      <c r="B3" s="6" t="s">
        <v>37</v>
      </c>
      <c r="C3" s="6" t="s">
        <v>2</v>
      </c>
    </row>
    <row r="4" spans="1:3" x14ac:dyDescent="0.25">
      <c r="A4" s="7" t="s">
        <v>10</v>
      </c>
      <c r="B4" s="7" t="s">
        <v>11</v>
      </c>
      <c r="C4" s="7" t="s">
        <v>12</v>
      </c>
    </row>
    <row r="5" spans="1:3" x14ac:dyDescent="0.25">
      <c r="A5" s="8" t="s">
        <v>39</v>
      </c>
      <c r="B5" s="8" t="s">
        <v>40</v>
      </c>
      <c r="C5" s="8" t="s">
        <v>2</v>
      </c>
    </row>
    <row r="6" spans="1:3" x14ac:dyDescent="0.25">
      <c r="A6" s="8" t="s">
        <v>13</v>
      </c>
      <c r="B6" s="8" t="s">
        <v>14</v>
      </c>
      <c r="C6" s="8" t="s">
        <v>2</v>
      </c>
    </row>
    <row r="7" spans="1:3" x14ac:dyDescent="0.25">
      <c r="A7" s="8" t="s">
        <v>15</v>
      </c>
      <c r="B7" s="8" t="s">
        <v>16</v>
      </c>
      <c r="C7" s="8" t="s">
        <v>2</v>
      </c>
    </row>
    <row r="8" spans="1:3" x14ac:dyDescent="0.25">
      <c r="A8" s="8" t="s">
        <v>70</v>
      </c>
      <c r="B8" s="8" t="s">
        <v>71</v>
      </c>
      <c r="C8" s="8" t="s">
        <v>19</v>
      </c>
    </row>
    <row r="9" spans="1:3" x14ac:dyDescent="0.25">
      <c r="A9" s="8" t="s">
        <v>72</v>
      </c>
      <c r="B9" s="8" t="s">
        <v>73</v>
      </c>
      <c r="C9" s="8" t="s">
        <v>19</v>
      </c>
    </row>
    <row r="10" spans="1:3" x14ac:dyDescent="0.25">
      <c r="A10" s="8" t="s">
        <v>74</v>
      </c>
      <c r="B10" s="8" t="s">
        <v>75</v>
      </c>
      <c r="C10" s="8" t="s">
        <v>19</v>
      </c>
    </row>
    <row r="11" spans="1:3" x14ac:dyDescent="0.25">
      <c r="A11" s="8" t="s">
        <v>17</v>
      </c>
      <c r="B11" s="8" t="s">
        <v>18</v>
      </c>
      <c r="C11" s="8" t="s">
        <v>2</v>
      </c>
    </row>
    <row r="12" spans="1:3" x14ac:dyDescent="0.25">
      <c r="A12" s="8" t="s">
        <v>76</v>
      </c>
      <c r="B12" s="8" t="s">
        <v>77</v>
      </c>
      <c r="C12" s="8" t="s">
        <v>2</v>
      </c>
    </row>
    <row r="13" spans="1:3" x14ac:dyDescent="0.25">
      <c r="A13" s="8" t="s">
        <v>78</v>
      </c>
      <c r="B13" s="8" t="s">
        <v>79</v>
      </c>
      <c r="C13" s="8" t="s">
        <v>2</v>
      </c>
    </row>
    <row r="14" spans="1:3" x14ac:dyDescent="0.25">
      <c r="A14" s="8" t="s">
        <v>80</v>
      </c>
      <c r="B14" s="8" t="s">
        <v>81</v>
      </c>
      <c r="C14" s="8" t="s">
        <v>2</v>
      </c>
    </row>
    <row r="15" spans="1:3" x14ac:dyDescent="0.25">
      <c r="A15" s="8" t="s">
        <v>41</v>
      </c>
      <c r="B15" s="8" t="s">
        <v>42</v>
      </c>
      <c r="C15" s="8" t="s">
        <v>2</v>
      </c>
    </row>
    <row r="16" spans="1:3" x14ac:dyDescent="0.25">
      <c r="A16" s="8" t="s">
        <v>43</v>
      </c>
      <c r="B16" s="8" t="s">
        <v>44</v>
      </c>
      <c r="C16" s="8" t="s">
        <v>2</v>
      </c>
    </row>
    <row r="17" spans="1:3" x14ac:dyDescent="0.25">
      <c r="A17" s="8" t="s">
        <v>82</v>
      </c>
      <c r="B17" s="8" t="s">
        <v>83</v>
      </c>
      <c r="C17" s="8" t="s">
        <v>19</v>
      </c>
    </row>
    <row r="18" spans="1:3" x14ac:dyDescent="0.25">
      <c r="A18" s="8" t="s">
        <v>20</v>
      </c>
      <c r="B18" s="8" t="s">
        <v>21</v>
      </c>
      <c r="C18" s="8" t="s">
        <v>19</v>
      </c>
    </row>
    <row r="19" spans="1:3" x14ac:dyDescent="0.25">
      <c r="A19" s="8" t="s">
        <v>84</v>
      </c>
      <c r="B19" s="8" t="s">
        <v>85</v>
      </c>
      <c r="C19" s="8" t="s">
        <v>45</v>
      </c>
    </row>
    <row r="20" spans="1:3" x14ac:dyDescent="0.25">
      <c r="A20" s="8" t="s">
        <v>22</v>
      </c>
      <c r="B20" s="8" t="s">
        <v>23</v>
      </c>
      <c r="C20" s="8" t="s">
        <v>2</v>
      </c>
    </row>
    <row r="21" spans="1:3" x14ac:dyDescent="0.25">
      <c r="A21" s="8" t="s">
        <v>46</v>
      </c>
      <c r="B21" s="8" t="s">
        <v>47</v>
      </c>
      <c r="C21" s="8" t="s">
        <v>2</v>
      </c>
    </row>
    <row r="22" spans="1:3" x14ac:dyDescent="0.25">
      <c r="A22" s="8" t="s">
        <v>24</v>
      </c>
      <c r="B22" s="8" t="s">
        <v>25</v>
      </c>
      <c r="C22" s="8" t="s">
        <v>2</v>
      </c>
    </row>
    <row r="23" spans="1:3" x14ac:dyDescent="0.25">
      <c r="A23" s="8" t="s">
        <v>26</v>
      </c>
      <c r="B23" s="8" t="s">
        <v>27</v>
      </c>
      <c r="C23" s="8" t="s">
        <v>2</v>
      </c>
    </row>
    <row r="24" spans="1:3" x14ac:dyDescent="0.25">
      <c r="A24" s="8" t="s">
        <v>48</v>
      </c>
      <c r="B24" s="8" t="s">
        <v>49</v>
      </c>
      <c r="C24" s="8" t="s">
        <v>2</v>
      </c>
    </row>
    <row r="25" spans="1:3" x14ac:dyDescent="0.25">
      <c r="A25" s="8" t="s">
        <v>50</v>
      </c>
      <c r="B25" s="8" t="s">
        <v>51</v>
      </c>
      <c r="C25" s="8" t="s">
        <v>2</v>
      </c>
    </row>
    <row r="26" spans="1:3" x14ac:dyDescent="0.25">
      <c r="A26" s="8" t="s">
        <v>28</v>
      </c>
      <c r="B26" s="8" t="s">
        <v>29</v>
      </c>
      <c r="C26" s="8" t="s">
        <v>2</v>
      </c>
    </row>
    <row r="27" spans="1:3" x14ac:dyDescent="0.25">
      <c r="A27" s="8" t="s">
        <v>52</v>
      </c>
      <c r="B27" s="8" t="s">
        <v>53</v>
      </c>
      <c r="C27" s="8" t="s">
        <v>66</v>
      </c>
    </row>
    <row r="28" spans="1:3" x14ac:dyDescent="0.25">
      <c r="A28" s="8" t="s">
        <v>30</v>
      </c>
      <c r="B28" s="8" t="s">
        <v>31</v>
      </c>
      <c r="C28" s="8" t="s">
        <v>19</v>
      </c>
    </row>
    <row r="29" spans="1:3" x14ac:dyDescent="0.25">
      <c r="A29" s="8" t="s">
        <v>86</v>
      </c>
      <c r="B29" s="8" t="s">
        <v>87</v>
      </c>
      <c r="C29" s="8" t="s">
        <v>2</v>
      </c>
    </row>
    <row r="30" spans="1:3" x14ac:dyDescent="0.25">
      <c r="A30" s="8" t="s">
        <v>64</v>
      </c>
      <c r="B30" s="8" t="s">
        <v>65</v>
      </c>
      <c r="C30" s="8" t="s">
        <v>19</v>
      </c>
    </row>
    <row r="31" spans="1:3" x14ac:dyDescent="0.25">
      <c r="A31" s="8" t="s">
        <v>88</v>
      </c>
      <c r="B31" s="8" t="s">
        <v>89</v>
      </c>
      <c r="C31" s="8" t="s">
        <v>2</v>
      </c>
    </row>
    <row r="32" spans="1:3" x14ac:dyDescent="0.25">
      <c r="A32" s="8" t="s">
        <v>54</v>
      </c>
      <c r="B32" s="8" t="s">
        <v>55</v>
      </c>
      <c r="C32" s="8" t="s">
        <v>2</v>
      </c>
    </row>
    <row r="33" spans="1:3" x14ac:dyDescent="0.25">
      <c r="A33" s="8" t="s">
        <v>56</v>
      </c>
      <c r="B33" s="8" t="s">
        <v>57</v>
      </c>
      <c r="C33" s="8" t="s">
        <v>19</v>
      </c>
    </row>
    <row r="34" spans="1:3" x14ac:dyDescent="0.25">
      <c r="A34" s="8" t="s">
        <v>90</v>
      </c>
      <c r="B34" s="8" t="s">
        <v>91</v>
      </c>
      <c r="C34" s="8" t="s">
        <v>2</v>
      </c>
    </row>
    <row r="35" spans="1:3" x14ac:dyDescent="0.25">
      <c r="A35" s="8" t="s">
        <v>58</v>
      </c>
      <c r="B35" s="8" t="s">
        <v>59</v>
      </c>
      <c r="C35" s="8" t="s">
        <v>2</v>
      </c>
    </row>
    <row r="36" spans="1:3" x14ac:dyDescent="0.25">
      <c r="A36" s="8" t="s">
        <v>92</v>
      </c>
      <c r="B36" s="8" t="s">
        <v>93</v>
      </c>
      <c r="C36" s="8" t="s">
        <v>19</v>
      </c>
    </row>
    <row r="37" spans="1:3" x14ac:dyDescent="0.25">
      <c r="A37" s="8" t="s">
        <v>60</v>
      </c>
      <c r="B37" s="8" t="s">
        <v>61</v>
      </c>
      <c r="C37" s="8" t="s">
        <v>19</v>
      </c>
    </row>
    <row r="38" spans="1:3" x14ac:dyDescent="0.25">
      <c r="A38" s="8" t="s">
        <v>62</v>
      </c>
      <c r="B38" s="8" t="s">
        <v>63</v>
      </c>
      <c r="C38" s="8" t="s">
        <v>2</v>
      </c>
    </row>
    <row r="39" spans="1:3" x14ac:dyDescent="0.25">
      <c r="A39" s="8" t="s">
        <v>94</v>
      </c>
      <c r="B39" s="8" t="s">
        <v>95</v>
      </c>
      <c r="C39" s="8" t="s">
        <v>2</v>
      </c>
    </row>
    <row r="40" spans="1:3" x14ac:dyDescent="0.25">
      <c r="A40" s="8" t="s">
        <v>96</v>
      </c>
      <c r="B40" s="8" t="s">
        <v>97</v>
      </c>
      <c r="C40" s="8" t="s">
        <v>2</v>
      </c>
    </row>
    <row r="41" spans="1:3" x14ac:dyDescent="0.25">
      <c r="A41" s="6" t="s">
        <v>67</v>
      </c>
      <c r="B41" s="6" t="s">
        <v>68</v>
      </c>
      <c r="C41" s="6" t="s">
        <v>2</v>
      </c>
    </row>
    <row r="42" spans="1:3" x14ac:dyDescent="0.25">
      <c r="A42" s="7" t="s">
        <v>10</v>
      </c>
      <c r="B42" s="7" t="s">
        <v>11</v>
      </c>
      <c r="C42" s="7" t="s">
        <v>12</v>
      </c>
    </row>
    <row r="43" spans="1:3" x14ac:dyDescent="0.25">
      <c r="A43" s="8" t="s">
        <v>98</v>
      </c>
      <c r="B43" s="8" t="s">
        <v>99</v>
      </c>
      <c r="C43" s="8" t="s">
        <v>2</v>
      </c>
    </row>
    <row r="44" spans="1:3" x14ac:dyDescent="0.25">
      <c r="A44" s="6" t="s">
        <v>32</v>
      </c>
      <c r="B44" s="6" t="s">
        <v>35</v>
      </c>
      <c r="C44" s="6" t="s">
        <v>2</v>
      </c>
    </row>
    <row r="45" spans="1:3" x14ac:dyDescent="0.25">
      <c r="A45" s="6" t="s">
        <v>3</v>
      </c>
      <c r="B45" s="6" t="s">
        <v>69</v>
      </c>
      <c r="C45" s="6" t="s">
        <v>2</v>
      </c>
    </row>
    <row r="46" spans="1:3" x14ac:dyDescent="0.25">
      <c r="A46" s="7" t="s">
        <v>10</v>
      </c>
      <c r="B46" s="7" t="s">
        <v>11</v>
      </c>
      <c r="C46" s="7" t="s">
        <v>12</v>
      </c>
    </row>
    <row r="47" spans="1:3" x14ac:dyDescent="0.25">
      <c r="A47" s="8" t="s">
        <v>33</v>
      </c>
      <c r="B47" s="8" t="s">
        <v>34</v>
      </c>
      <c r="C47" s="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Noel Oliwa APD International</dc:creator>
  <cp:lastModifiedBy>Dwayne Noel Oliwa APD International</cp:lastModifiedBy>
  <dcterms:created xsi:type="dcterms:W3CDTF">2026-04-10T18:25:33Z</dcterms:created>
  <dcterms:modified xsi:type="dcterms:W3CDTF">2026-05-06T20:10:32Z</dcterms:modified>
</cp:coreProperties>
</file>